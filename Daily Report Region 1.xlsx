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4"/>
  <workbookPr/>
  <mc:AlternateContent xmlns:mc="http://schemas.openxmlformats.org/markup-compatibility/2006">
    <mc:Choice Requires="x15">
      <x15ac:absPath xmlns:x15ac="http://schemas.microsoft.com/office/spreadsheetml/2010/11/ac" url="C:\Users\dhp002-ho\Desktop\HMC_PHUCDO\Report\"/>
    </mc:Choice>
  </mc:AlternateContent>
  <xr:revisionPtr revIDLastSave="0" documentId="8_{ADFAC1DD-1DA9-46B8-803D-95DCDE84AA5C}" xr6:coauthVersionLast="47" xr6:coauthVersionMax="47" xr10:uidLastSave="{00000000-0000-0000-0000-000000000000}"/>
  <bookViews>
    <workbookView xWindow="0" yWindow="0" windowWidth="19200" windowHeight="6350" xr2:uid="{00000000-000D-0000-FFFF-FFFF00000000}"/>
  </bookViews>
  <sheets>
    <sheet name="SUM" sheetId="1" r:id="rId1"/>
    <sheet name="Quy_Vung1" sheetId="6" r:id="rId2"/>
    <sheet name="Bottom Up" sheetId="8" r:id="rId3"/>
    <sheet name="25.2 specialty R1" sheetId="2" r:id="rId4"/>
    <sheet name="KPI_Viện_Sales Staff 2025" sheetId="3" r:id="rId5"/>
    <sheet name="Raw" sheetId="7" r:id="rId6"/>
    <sheet name="Staff" sheetId="13" r:id="rId7"/>
  </sheets>
  <definedNames>
    <definedName name="_xlnm._FilterDatabase" localSheetId="6" hidden="1">Staff!$A$2:$F$56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47" i="6" l="1"/>
  <c r="CB48" i="6"/>
  <c r="CA47" i="6"/>
  <c r="CA48" i="6"/>
  <c r="BZ47" i="6"/>
  <c r="BZ48" i="6"/>
  <c r="BX47" i="6"/>
  <c r="B91" i="6"/>
  <c r="B99" i="6"/>
  <c r="C99" i="6"/>
  <c r="D99" i="6"/>
  <c r="E99" i="6"/>
  <c r="F99" i="6"/>
  <c r="G99" i="6"/>
  <c r="H99" i="6"/>
  <c r="I99" i="6"/>
  <c r="J99" i="6"/>
  <c r="K99" i="6"/>
  <c r="L99" i="6"/>
  <c r="M99" i="6"/>
  <c r="B87" i="6"/>
  <c r="AC30" i="6"/>
  <c r="Z30" i="6"/>
  <c r="W30" i="6"/>
  <c r="AC20" i="6"/>
  <c r="AI20" i="6"/>
  <c r="AF20" i="6"/>
  <c r="H20" i="6"/>
  <c r="N64" i="6"/>
  <c r="N65" i="6"/>
  <c r="B88" i="6"/>
  <c r="C88" i="6"/>
  <c r="D88" i="6"/>
  <c r="E88" i="6"/>
  <c r="F88" i="6"/>
  <c r="G88" i="6"/>
  <c r="H88" i="6"/>
  <c r="I88" i="6"/>
  <c r="J88" i="6"/>
  <c r="K88" i="6"/>
  <c r="L88" i="6"/>
  <c r="M88" i="6"/>
  <c r="OQ15" i="1"/>
  <c r="OR15" i="1"/>
  <c r="OS15" i="1"/>
  <c r="OT15" i="1"/>
  <c r="OU15" i="1"/>
  <c r="OV15" i="1"/>
  <c r="OW15" i="1"/>
  <c r="OX15" i="1"/>
  <c r="OY15" i="1"/>
  <c r="OZ15" i="1"/>
  <c r="PA15" i="1"/>
  <c r="PB15" i="1"/>
  <c r="PC15" i="1"/>
  <c r="PD15" i="1"/>
  <c r="PE15" i="1"/>
  <c r="PF15" i="1"/>
  <c r="PG15" i="1"/>
  <c r="PH15" i="1"/>
  <c r="PI15" i="1"/>
  <c r="PJ15" i="1"/>
  <c r="PK15" i="1"/>
  <c r="PL15" i="1"/>
  <c r="PM15" i="1"/>
  <c r="PN15" i="1"/>
  <c r="PO15" i="1"/>
  <c r="PP15" i="1"/>
  <c r="PQ15" i="1"/>
  <c r="PR15" i="1"/>
  <c r="PS15" i="1"/>
  <c r="PT15" i="1"/>
  <c r="OQ16" i="1"/>
  <c r="OR16" i="1"/>
  <c r="OS16" i="1"/>
  <c r="OT16" i="1"/>
  <c r="OU16" i="1"/>
  <c r="OV16" i="1"/>
  <c r="OW16" i="1"/>
  <c r="OX16" i="1"/>
  <c r="OY16" i="1"/>
  <c r="OZ16" i="1"/>
  <c r="PA16" i="1"/>
  <c r="PB16" i="1"/>
  <c r="PC16" i="1"/>
  <c r="PD16" i="1"/>
  <c r="PE16" i="1"/>
  <c r="PF16" i="1"/>
  <c r="PG16" i="1"/>
  <c r="PH16" i="1"/>
  <c r="PI16" i="1"/>
  <c r="PJ16" i="1"/>
  <c r="PK16" i="1"/>
  <c r="PL16" i="1"/>
  <c r="PM16" i="1"/>
  <c r="PN16" i="1"/>
  <c r="PO16" i="1"/>
  <c r="PP16" i="1"/>
  <c r="PQ16" i="1"/>
  <c r="PR16" i="1"/>
  <c r="PS16" i="1"/>
  <c r="PT16" i="1"/>
  <c r="OQ17" i="1"/>
  <c r="OR17" i="1"/>
  <c r="OS17" i="1"/>
  <c r="OT17" i="1"/>
  <c r="OU17" i="1"/>
  <c r="OV17" i="1"/>
  <c r="OW17" i="1"/>
  <c r="OX17" i="1"/>
  <c r="OY17" i="1"/>
  <c r="OZ17" i="1"/>
  <c r="PA17" i="1"/>
  <c r="PB17" i="1"/>
  <c r="PC17" i="1"/>
  <c r="PD17" i="1"/>
  <c r="PE17" i="1"/>
  <c r="PF17" i="1"/>
  <c r="PG17" i="1"/>
  <c r="PH17" i="1"/>
  <c r="PI17" i="1"/>
  <c r="PJ17" i="1"/>
  <c r="PK17" i="1"/>
  <c r="PL17" i="1"/>
  <c r="PM17" i="1"/>
  <c r="PN17" i="1"/>
  <c r="PO17" i="1"/>
  <c r="PP17" i="1"/>
  <c r="PQ17" i="1"/>
  <c r="PR17" i="1"/>
  <c r="PS17" i="1"/>
  <c r="PT17" i="1"/>
  <c r="OP15" i="1"/>
  <c r="OP16" i="1"/>
  <c r="OP17" i="1"/>
  <c r="DI12" i="6"/>
  <c r="CE5" i="6"/>
  <c r="CE6" i="6"/>
  <c r="CE7" i="6"/>
  <c r="CB6" i="6"/>
  <c r="CE4" i="6"/>
  <c r="BV17" i="6"/>
  <c r="BS17" i="6" s="1"/>
  <c r="BV27" i="6"/>
  <c r="BV22" i="6"/>
  <c r="BV12" i="6"/>
  <c r="BV9" i="6"/>
  <c r="BU7" i="6"/>
  <c r="BR18" i="6"/>
  <c r="DB34" i="6"/>
  <c r="CY34" i="6"/>
  <c r="CV34" i="6"/>
  <c r="DN34" i="6" s="1"/>
  <c r="CS34" i="6"/>
  <c r="CP34" i="6"/>
  <c r="CR34" i="6" s="1"/>
  <c r="CM34" i="6"/>
  <c r="CJ34" i="6"/>
  <c r="CL34" i="6" s="1"/>
  <c r="CG34" i="6"/>
  <c r="DH34" i="6" s="1"/>
  <c r="CF34" i="6"/>
  <c r="CA34" i="6"/>
  <c r="BX34" i="6"/>
  <c r="BU34" i="6"/>
  <c r="DN33" i="6"/>
  <c r="DK33" i="6"/>
  <c r="DH33" i="6"/>
  <c r="DE33" i="6"/>
  <c r="CR33" i="6"/>
  <c r="CL33" i="6"/>
  <c r="BR33" i="6"/>
  <c r="DN32" i="6"/>
  <c r="DL32" i="6"/>
  <c r="DK32" i="6"/>
  <c r="DI32" i="6"/>
  <c r="DH32" i="6"/>
  <c r="DF32" i="6"/>
  <c r="DE32" i="6"/>
  <c r="DD32" i="6"/>
  <c r="DA32" i="6"/>
  <c r="CU32" i="6"/>
  <c r="CR32" i="6"/>
  <c r="CO32" i="6"/>
  <c r="CL32" i="6"/>
  <c r="CI32" i="6"/>
  <c r="CF32" i="6"/>
  <c r="CC32" i="6"/>
  <c r="BZ32" i="6"/>
  <c r="BW32" i="6"/>
  <c r="BS32" i="6"/>
  <c r="BR32" i="6"/>
  <c r="DN31" i="6"/>
  <c r="DL31" i="6"/>
  <c r="DK31" i="6"/>
  <c r="DI31" i="6"/>
  <c r="DH31" i="6"/>
  <c r="DF31" i="6"/>
  <c r="DE31" i="6"/>
  <c r="DD31" i="6"/>
  <c r="DA31" i="6"/>
  <c r="CU31" i="6"/>
  <c r="CR31" i="6"/>
  <c r="CO31" i="6"/>
  <c r="CL31" i="6"/>
  <c r="CI31" i="6"/>
  <c r="CF31" i="6"/>
  <c r="CC31" i="6"/>
  <c r="BZ31" i="6"/>
  <c r="BW31" i="6"/>
  <c r="BS31" i="6"/>
  <c r="BR31" i="6"/>
  <c r="DN30" i="6"/>
  <c r="DL30" i="6"/>
  <c r="DK30" i="6"/>
  <c r="DI30" i="6"/>
  <c r="DH30" i="6"/>
  <c r="DF30" i="6"/>
  <c r="DE30" i="6"/>
  <c r="DE34" i="6" s="1"/>
  <c r="DD30" i="6"/>
  <c r="DA30" i="6"/>
  <c r="CU30" i="6"/>
  <c r="CR30" i="6"/>
  <c r="CO30" i="6"/>
  <c r="CL30" i="6"/>
  <c r="CI30" i="6"/>
  <c r="CF30" i="6"/>
  <c r="CC30" i="6"/>
  <c r="BZ30" i="6"/>
  <c r="BW30" i="6"/>
  <c r="BS30" i="6"/>
  <c r="BR30" i="6"/>
  <c r="BR34" i="6" s="1"/>
  <c r="DB29" i="6"/>
  <c r="CY29" i="6"/>
  <c r="CV29" i="6"/>
  <c r="DN29" i="6" s="1"/>
  <c r="CS29" i="6"/>
  <c r="CP29" i="6"/>
  <c r="CM29" i="6"/>
  <c r="DK29" i="6" s="1"/>
  <c r="CJ29" i="6"/>
  <c r="CL29" i="6" s="1"/>
  <c r="CG29" i="6"/>
  <c r="DH29" i="6" s="1"/>
  <c r="CF29" i="6"/>
  <c r="CA29" i="6"/>
  <c r="BX29" i="6"/>
  <c r="BU29" i="6"/>
  <c r="DN28" i="6"/>
  <c r="DK28" i="6"/>
  <c r="DH28" i="6"/>
  <c r="DE28" i="6"/>
  <c r="DA28" i="6"/>
  <c r="CU28" i="6"/>
  <c r="CR28" i="6"/>
  <c r="CL28" i="6"/>
  <c r="CI28" i="6"/>
  <c r="BZ28" i="6"/>
  <c r="BR28" i="6"/>
  <c r="DN27" i="6"/>
  <c r="DK27" i="6"/>
  <c r="DH27" i="6"/>
  <c r="DE27" i="6"/>
  <c r="DD27" i="6"/>
  <c r="DA27" i="6"/>
  <c r="CL27" i="6"/>
  <c r="BS27" i="6"/>
  <c r="BR27" i="6"/>
  <c r="DN26" i="6"/>
  <c r="DM26" i="6"/>
  <c r="DI26" i="6"/>
  <c r="DH26" i="6"/>
  <c r="DE26" i="6"/>
  <c r="DD26" i="6"/>
  <c r="DA26" i="6"/>
  <c r="CU26" i="6"/>
  <c r="CO26" i="6"/>
  <c r="CL26" i="6"/>
  <c r="CI26" i="6"/>
  <c r="CF26" i="6"/>
  <c r="CC26" i="6"/>
  <c r="BZ26" i="6"/>
  <c r="BR26" i="6"/>
  <c r="DN25" i="6"/>
  <c r="DL25" i="6"/>
  <c r="DK25" i="6"/>
  <c r="DI25" i="6"/>
  <c r="DH25" i="6"/>
  <c r="DE25" i="6"/>
  <c r="DE29" i="6" s="1"/>
  <c r="DD25" i="6"/>
  <c r="CU25" i="6"/>
  <c r="CR25" i="6"/>
  <c r="CO25" i="6"/>
  <c r="CL25" i="6"/>
  <c r="CI25" i="6"/>
  <c r="CF25" i="6"/>
  <c r="CC25" i="6"/>
  <c r="BZ25" i="6"/>
  <c r="BR25" i="6"/>
  <c r="BR29" i="6" s="1"/>
  <c r="DB24" i="6"/>
  <c r="CY24" i="6"/>
  <c r="CV24" i="6"/>
  <c r="DN24" i="6" s="1"/>
  <c r="CS24" i="6"/>
  <c r="CP24" i="6"/>
  <c r="CR24" i="6" s="1"/>
  <c r="CM24" i="6"/>
  <c r="CJ24" i="6"/>
  <c r="CL24" i="6" s="1"/>
  <c r="CG24" i="6"/>
  <c r="DH24" i="6" s="1"/>
  <c r="CF24" i="6"/>
  <c r="CA24" i="6"/>
  <c r="BX24" i="6"/>
  <c r="BU24" i="6"/>
  <c r="DN23" i="6"/>
  <c r="DK23" i="6"/>
  <c r="DH23" i="6"/>
  <c r="DE23" i="6"/>
  <c r="DD23" i="6"/>
  <c r="DA23" i="6"/>
  <c r="CU23" i="6"/>
  <c r="CR23" i="6"/>
  <c r="CL23" i="6"/>
  <c r="CI23" i="6"/>
  <c r="BZ23" i="6"/>
  <c r="BR23" i="6"/>
  <c r="DN22" i="6"/>
  <c r="DK22" i="6"/>
  <c r="DH22" i="6"/>
  <c r="DE22" i="6"/>
  <c r="DD22" i="6"/>
  <c r="DA22" i="6"/>
  <c r="CU22" i="6"/>
  <c r="CR22" i="6"/>
  <c r="CL22" i="6"/>
  <c r="CI22" i="6"/>
  <c r="BZ22" i="6"/>
  <c r="BW22" i="6"/>
  <c r="BS22" i="6"/>
  <c r="BR22" i="6"/>
  <c r="DN21" i="6"/>
  <c r="DK21" i="6"/>
  <c r="DH21" i="6"/>
  <c r="DE21" i="6"/>
  <c r="DE24" i="6" s="1"/>
  <c r="DA21" i="6"/>
  <c r="CR21" i="6"/>
  <c r="CL21" i="6"/>
  <c r="BR21" i="6"/>
  <c r="DN20" i="6"/>
  <c r="DL20" i="6"/>
  <c r="DK20" i="6"/>
  <c r="DQ20" i="6" s="1"/>
  <c r="DI20" i="6"/>
  <c r="DJ20" i="6" s="1"/>
  <c r="DG20" i="6"/>
  <c r="DD20" i="6"/>
  <c r="CX20" i="6"/>
  <c r="CU20" i="6"/>
  <c r="CR20" i="6"/>
  <c r="CO20" i="6"/>
  <c r="CL20" i="6"/>
  <c r="CI20" i="6"/>
  <c r="CF20" i="6"/>
  <c r="CC20" i="6"/>
  <c r="BZ20" i="6"/>
  <c r="BR20" i="6"/>
  <c r="BR24" i="6" s="1"/>
  <c r="DB19" i="6"/>
  <c r="CY19" i="6"/>
  <c r="CV19" i="6"/>
  <c r="DN19" i="6" s="1"/>
  <c r="CS19" i="6"/>
  <c r="CP19" i="6"/>
  <c r="CR19" i="6" s="1"/>
  <c r="CM19" i="6"/>
  <c r="DK19" i="6" s="1"/>
  <c r="CJ19" i="6"/>
  <c r="CG19" i="6"/>
  <c r="CD19" i="6"/>
  <c r="DH19" i="6" s="1"/>
  <c r="CA19" i="6"/>
  <c r="BX19" i="6"/>
  <c r="BU19" i="6"/>
  <c r="DE18" i="6" s="1"/>
  <c r="DN18" i="6"/>
  <c r="DK18" i="6"/>
  <c r="DH18" i="6"/>
  <c r="DD18" i="6"/>
  <c r="DA18" i="6"/>
  <c r="CU18" i="6"/>
  <c r="CR18" i="6"/>
  <c r="CL18" i="6"/>
  <c r="CI18" i="6"/>
  <c r="BZ18" i="6"/>
  <c r="DN17" i="6"/>
  <c r="DK17" i="6"/>
  <c r="DH17" i="6"/>
  <c r="DE17" i="6"/>
  <c r="DD17" i="6"/>
  <c r="DA17" i="6"/>
  <c r="CU17" i="6"/>
  <c r="CR17" i="6"/>
  <c r="CL17" i="6"/>
  <c r="CI17" i="6"/>
  <c r="BZ17" i="6"/>
  <c r="BW17" i="6"/>
  <c r="BR17" i="6"/>
  <c r="DN16" i="6"/>
  <c r="DK16" i="6"/>
  <c r="DH16" i="6"/>
  <c r="DE16" i="6"/>
  <c r="DD16" i="6"/>
  <c r="DA16" i="6"/>
  <c r="CU16" i="6"/>
  <c r="CR16" i="6"/>
  <c r="CL16" i="6"/>
  <c r="CI16" i="6"/>
  <c r="BZ16" i="6"/>
  <c r="BR16" i="6"/>
  <c r="DN15" i="6"/>
  <c r="DK15" i="6"/>
  <c r="DH15" i="6"/>
  <c r="DE15" i="6"/>
  <c r="DE19" i="6" s="1"/>
  <c r="CR15" i="6"/>
  <c r="BR15" i="6"/>
  <c r="BR19" i="6" s="1"/>
  <c r="DB14" i="6"/>
  <c r="CY14" i="6"/>
  <c r="CV14" i="6"/>
  <c r="DN14" i="6" s="1"/>
  <c r="CS14" i="6"/>
  <c r="CP14" i="6"/>
  <c r="CM14" i="6"/>
  <c r="DK14" i="6" s="1"/>
  <c r="CJ14" i="6"/>
  <c r="CG14" i="6"/>
  <c r="CD14" i="6"/>
  <c r="DH14" i="6" s="1"/>
  <c r="CA14" i="6"/>
  <c r="BX14" i="6"/>
  <c r="BU14" i="6"/>
  <c r="DN13" i="6"/>
  <c r="DK13" i="6"/>
  <c r="DH13" i="6"/>
  <c r="DE13" i="6"/>
  <c r="DD13" i="6"/>
  <c r="DA13" i="6"/>
  <c r="CU13" i="6"/>
  <c r="CR13" i="6"/>
  <c r="CL13" i="6"/>
  <c r="CI13" i="6"/>
  <c r="BZ13" i="6"/>
  <c r="BR13" i="6"/>
  <c r="DN12" i="6"/>
  <c r="DK12" i="6"/>
  <c r="DH12" i="6"/>
  <c r="DE12" i="6"/>
  <c r="DD12" i="6"/>
  <c r="DA12" i="6"/>
  <c r="CU12" i="6"/>
  <c r="CR12" i="6"/>
  <c r="CL12" i="6"/>
  <c r="CF12" i="6"/>
  <c r="BZ12" i="6"/>
  <c r="BW12" i="6"/>
  <c r="BS12" i="6"/>
  <c r="BR12" i="6"/>
  <c r="DN11" i="6"/>
  <c r="DK11" i="6"/>
  <c r="DH11" i="6"/>
  <c r="DE11" i="6"/>
  <c r="DD11" i="6"/>
  <c r="DA11" i="6"/>
  <c r="CU11" i="6"/>
  <c r="CL11" i="6"/>
  <c r="CI11" i="6"/>
  <c r="BZ11" i="6"/>
  <c r="BR11" i="6"/>
  <c r="DN10" i="6"/>
  <c r="DK10" i="6"/>
  <c r="DH10" i="6"/>
  <c r="DE10" i="6"/>
  <c r="DD10" i="6"/>
  <c r="BR10" i="6"/>
  <c r="DN9" i="6"/>
  <c r="DL9" i="6"/>
  <c r="DK9" i="6"/>
  <c r="DI9" i="6"/>
  <c r="DH9" i="6"/>
  <c r="DF9" i="6"/>
  <c r="DE9" i="6"/>
  <c r="DA9" i="6"/>
  <c r="CX9" i="6"/>
  <c r="CU9" i="6"/>
  <c r="CR9" i="6"/>
  <c r="CO9" i="6"/>
  <c r="CL9" i="6"/>
  <c r="CI9" i="6"/>
  <c r="CF9" i="6"/>
  <c r="CC9" i="6"/>
  <c r="BZ9" i="6"/>
  <c r="BW9" i="6"/>
  <c r="BS9" i="6"/>
  <c r="BR9" i="6"/>
  <c r="BR14" i="6" s="1"/>
  <c r="CD8" i="6"/>
  <c r="DC7" i="6"/>
  <c r="DB7" i="6"/>
  <c r="CZ7" i="6"/>
  <c r="CY7" i="6"/>
  <c r="CW7" i="6"/>
  <c r="CV7" i="6"/>
  <c r="DN7" i="6" s="1"/>
  <c r="CT7" i="6"/>
  <c r="CS7" i="6"/>
  <c r="CQ7" i="6"/>
  <c r="CP7" i="6"/>
  <c r="CN7" i="6"/>
  <c r="CM7" i="6"/>
  <c r="DK7" i="6" s="1"/>
  <c r="CK7" i="6"/>
  <c r="CJ7" i="6"/>
  <c r="CH7" i="6"/>
  <c r="CG7" i="6"/>
  <c r="DH7" i="6" s="1"/>
  <c r="CB7" i="6"/>
  <c r="CA7" i="6"/>
  <c r="BY7" i="6"/>
  <c r="BX7" i="6"/>
  <c r="BR7" i="6"/>
  <c r="DC6" i="6"/>
  <c r="DB6" i="6"/>
  <c r="CZ6" i="6"/>
  <c r="CY6" i="6"/>
  <c r="CW6" i="6"/>
  <c r="CV6" i="6"/>
  <c r="DN6" i="6" s="1"/>
  <c r="CT6" i="6"/>
  <c r="CS6" i="6"/>
  <c r="CQ6" i="6"/>
  <c r="CP6" i="6"/>
  <c r="CN6" i="6"/>
  <c r="CM6" i="6"/>
  <c r="DK6" i="6" s="1"/>
  <c r="CK6" i="6"/>
  <c r="CJ6" i="6"/>
  <c r="CH6" i="6"/>
  <c r="CG6" i="6"/>
  <c r="DH6" i="6" s="1"/>
  <c r="CA6" i="6"/>
  <c r="BY6" i="6"/>
  <c r="BX6" i="6"/>
  <c r="BV6" i="6"/>
  <c r="BU6" i="6"/>
  <c r="BS6" i="6"/>
  <c r="BR6" i="6"/>
  <c r="DC5" i="6"/>
  <c r="DB5" i="6"/>
  <c r="CZ5" i="6"/>
  <c r="CY5" i="6"/>
  <c r="CW5" i="6"/>
  <c r="CV5" i="6"/>
  <c r="DN5" i="6" s="1"/>
  <c r="CT5" i="6"/>
  <c r="CS5" i="6"/>
  <c r="CQ5" i="6"/>
  <c r="CP5" i="6"/>
  <c r="CN5" i="6"/>
  <c r="CM5" i="6"/>
  <c r="DK5" i="6" s="1"/>
  <c r="CK5" i="6"/>
  <c r="CJ5" i="6"/>
  <c r="CH5" i="6"/>
  <c r="CG5" i="6"/>
  <c r="DH5" i="6" s="1"/>
  <c r="CB5" i="6"/>
  <c r="CA5" i="6"/>
  <c r="BY5" i="6"/>
  <c r="BX5" i="6"/>
  <c r="BU5" i="6"/>
  <c r="BR5" i="6"/>
  <c r="DC4" i="6"/>
  <c r="DB4" i="6"/>
  <c r="CZ4" i="6"/>
  <c r="CY4" i="6"/>
  <c r="CW4" i="6"/>
  <c r="CV4" i="6"/>
  <c r="DN4" i="6" s="1"/>
  <c r="CT4" i="6"/>
  <c r="CS4" i="6"/>
  <c r="CQ4" i="6"/>
  <c r="CP4" i="6"/>
  <c r="CN4" i="6"/>
  <c r="CM4" i="6"/>
  <c r="DK4" i="6" s="1"/>
  <c r="CK4" i="6"/>
  <c r="CJ4" i="6"/>
  <c r="CH4" i="6"/>
  <c r="CG4" i="6"/>
  <c r="DH4" i="6" s="1"/>
  <c r="CB4" i="6"/>
  <c r="CA4" i="6"/>
  <c r="BY4" i="6"/>
  <c r="BX4" i="6"/>
  <c r="BU4" i="6"/>
  <c r="BR4" i="6"/>
  <c r="DC3" i="6"/>
  <c r="DB3" i="6"/>
  <c r="DB8" i="6" s="1"/>
  <c r="CZ3" i="6"/>
  <c r="CY3" i="6"/>
  <c r="CY8" i="6" s="1"/>
  <c r="CW3" i="6"/>
  <c r="CV3" i="6"/>
  <c r="CT3" i="6"/>
  <c r="CS3" i="6"/>
  <c r="CS8" i="6" s="1"/>
  <c r="CQ3" i="6"/>
  <c r="CP3" i="6"/>
  <c r="CP8" i="6" s="1"/>
  <c r="CN3" i="6"/>
  <c r="CM3" i="6"/>
  <c r="CK3" i="6"/>
  <c r="CJ3" i="6"/>
  <c r="CJ8" i="6" s="1"/>
  <c r="CH3" i="6"/>
  <c r="CG3" i="6"/>
  <c r="CE3" i="6"/>
  <c r="CB3" i="6"/>
  <c r="CA3" i="6"/>
  <c r="BY3" i="6"/>
  <c r="BX3" i="6"/>
  <c r="BX8" i="6" s="1"/>
  <c r="BV3" i="6"/>
  <c r="BU3" i="6"/>
  <c r="BU8" i="6" s="1"/>
  <c r="BS3" i="6"/>
  <c r="BR3" i="6"/>
  <c r="BR8" i="6" s="1"/>
  <c r="P15" i="1"/>
  <c r="P16" i="1"/>
  <c r="P17" i="1"/>
  <c r="P19" i="1"/>
  <c r="P20" i="1"/>
  <c r="P21" i="1"/>
  <c r="P23" i="1"/>
  <c r="P24" i="1"/>
  <c r="P25" i="1"/>
  <c r="P27" i="1"/>
  <c r="P28" i="1"/>
  <c r="P29" i="1"/>
  <c r="P31" i="1"/>
  <c r="P32" i="1"/>
  <c r="P33" i="1"/>
  <c r="P35" i="1"/>
  <c r="P36" i="1"/>
  <c r="P37" i="1"/>
  <c r="P39" i="1"/>
  <c r="P40" i="1"/>
  <c r="P41" i="1"/>
  <c r="AI28" i="6"/>
  <c r="AF28" i="6"/>
  <c r="AC28" i="6"/>
  <c r="Z28" i="6"/>
  <c r="W28" i="6"/>
  <c r="T28" i="6"/>
  <c r="Q28" i="6"/>
  <c r="N28" i="6"/>
  <c r="K28" i="6"/>
  <c r="H28" i="6"/>
  <c r="N55" i="6"/>
  <c r="N6" i="1"/>
  <c r="N7" i="1"/>
  <c r="N8" i="1"/>
  <c r="N9" i="1"/>
  <c r="N10" i="1"/>
  <c r="N5" i="1"/>
  <c r="N4" i="1"/>
  <c r="OP18" i="1"/>
  <c r="OQ18" i="1"/>
  <c r="OR18" i="1"/>
  <c r="OP22" i="1"/>
  <c r="OQ22" i="1"/>
  <c r="OR22" i="1"/>
  <c r="OP30" i="1"/>
  <c r="OQ30" i="1"/>
  <c r="OR30" i="1"/>
  <c r="OP34" i="1"/>
  <c r="OQ34" i="1"/>
  <c r="OR34" i="1"/>
  <c r="OP38" i="1"/>
  <c r="OQ38" i="1"/>
  <c r="OR38" i="1"/>
  <c r="PT38" i="1"/>
  <c r="PS38" i="1"/>
  <c r="PR38" i="1"/>
  <c r="PQ38" i="1"/>
  <c r="PP38" i="1"/>
  <c r="PO38" i="1"/>
  <c r="PN38" i="1"/>
  <c r="PM38" i="1"/>
  <c r="PL38" i="1"/>
  <c r="PK38" i="1"/>
  <c r="PJ38" i="1"/>
  <c r="PI38" i="1"/>
  <c r="PH38" i="1"/>
  <c r="PG38" i="1"/>
  <c r="PF38" i="1"/>
  <c r="PE38" i="1"/>
  <c r="PD38" i="1"/>
  <c r="PC38" i="1"/>
  <c r="PB38" i="1"/>
  <c r="PA38" i="1"/>
  <c r="OZ38" i="1"/>
  <c r="OY38" i="1"/>
  <c r="OX38" i="1"/>
  <c r="OW38" i="1"/>
  <c r="OV38" i="1"/>
  <c r="OU38" i="1"/>
  <c r="OT38" i="1"/>
  <c r="OS38" i="1"/>
  <c r="PT34" i="1"/>
  <c r="PS34" i="1"/>
  <c r="PR34" i="1"/>
  <c r="PQ34" i="1"/>
  <c r="PP34" i="1"/>
  <c r="PO34" i="1"/>
  <c r="PN34" i="1"/>
  <c r="PM34" i="1"/>
  <c r="PL34" i="1"/>
  <c r="PK34" i="1"/>
  <c r="PJ34" i="1"/>
  <c r="PI34" i="1"/>
  <c r="PH34" i="1"/>
  <c r="PG34" i="1"/>
  <c r="PF34" i="1"/>
  <c r="PE34" i="1"/>
  <c r="PD34" i="1"/>
  <c r="PC34" i="1"/>
  <c r="PB34" i="1"/>
  <c r="PA34" i="1"/>
  <c r="OZ34" i="1"/>
  <c r="OY34" i="1"/>
  <c r="OX34" i="1"/>
  <c r="OW34" i="1"/>
  <c r="OV34" i="1"/>
  <c r="OU34" i="1"/>
  <c r="OT34" i="1"/>
  <c r="OS34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PT26" i="1"/>
  <c r="PS26" i="1"/>
  <c r="PR26" i="1"/>
  <c r="PQ26" i="1"/>
  <c r="PP26" i="1"/>
  <c r="PO26" i="1"/>
  <c r="PN26" i="1"/>
  <c r="PM26" i="1"/>
  <c r="PL26" i="1"/>
  <c r="PK26" i="1"/>
  <c r="PJ26" i="1"/>
  <c r="PI26" i="1"/>
  <c r="PH26" i="1"/>
  <c r="PG26" i="1"/>
  <c r="PF26" i="1"/>
  <c r="PE26" i="1"/>
  <c r="PD26" i="1"/>
  <c r="PC26" i="1"/>
  <c r="PB26" i="1"/>
  <c r="PA26" i="1"/>
  <c r="P26" i="1" s="1"/>
  <c r="PT22" i="1"/>
  <c r="PS22" i="1"/>
  <c r="PR22" i="1"/>
  <c r="PQ22" i="1"/>
  <c r="PP22" i="1"/>
  <c r="PO22" i="1"/>
  <c r="PN22" i="1"/>
  <c r="PM22" i="1"/>
  <c r="PL22" i="1"/>
  <c r="PK22" i="1"/>
  <c r="PJ22" i="1"/>
  <c r="PI22" i="1"/>
  <c r="PH22" i="1"/>
  <c r="PG22" i="1"/>
  <c r="PF22" i="1"/>
  <c r="PE22" i="1"/>
  <c r="PD22" i="1"/>
  <c r="PC22" i="1"/>
  <c r="PB22" i="1"/>
  <c r="PA22" i="1"/>
  <c r="OZ22" i="1"/>
  <c r="OY22" i="1"/>
  <c r="OX22" i="1"/>
  <c r="OW22" i="1"/>
  <c r="OV22" i="1"/>
  <c r="OU22" i="1"/>
  <c r="OT22" i="1"/>
  <c r="OS22" i="1"/>
  <c r="OS18" i="1"/>
  <c r="OT18" i="1"/>
  <c r="OU18" i="1"/>
  <c r="OV18" i="1"/>
  <c r="OW18" i="1"/>
  <c r="OX18" i="1"/>
  <c r="OY18" i="1"/>
  <c r="OZ18" i="1"/>
  <c r="PA18" i="1"/>
  <c r="PB18" i="1"/>
  <c r="PB14" i="1" s="1"/>
  <c r="PC18" i="1"/>
  <c r="PC14" i="1" s="1"/>
  <c r="PD18" i="1"/>
  <c r="PD14" i="1" s="1"/>
  <c r="PE18" i="1"/>
  <c r="PE14" i="1" s="1"/>
  <c r="PF18" i="1"/>
  <c r="PF14" i="1" s="1"/>
  <c r="PG18" i="1"/>
  <c r="PG14" i="1" s="1"/>
  <c r="PH18" i="1"/>
  <c r="PH14" i="1" s="1"/>
  <c r="PI18" i="1"/>
  <c r="PI14" i="1" s="1"/>
  <c r="PJ18" i="1"/>
  <c r="PJ14" i="1" s="1"/>
  <c r="PK18" i="1"/>
  <c r="PK14" i="1" s="1"/>
  <c r="PL18" i="1"/>
  <c r="PL14" i="1" s="1"/>
  <c r="PM18" i="1"/>
  <c r="PM14" i="1" s="1"/>
  <c r="PN18" i="1"/>
  <c r="PN14" i="1" s="1"/>
  <c r="PO18" i="1"/>
  <c r="PO14" i="1" s="1"/>
  <c r="PP18" i="1"/>
  <c r="PP14" i="1" s="1"/>
  <c r="PQ18" i="1"/>
  <c r="PQ14" i="1" s="1"/>
  <c r="PR18" i="1"/>
  <c r="PR14" i="1" s="1"/>
  <c r="PS18" i="1"/>
  <c r="PS14" i="1" s="1"/>
  <c r="PT18" i="1"/>
  <c r="PT14" i="1" s="1"/>
  <c r="AO22" i="6"/>
  <c r="NX40" i="1"/>
  <c r="NY40" i="1"/>
  <c r="NZ40" i="1"/>
  <c r="OA40" i="1"/>
  <c r="OB40" i="1"/>
  <c r="OC40" i="1"/>
  <c r="OD40" i="1"/>
  <c r="OE40" i="1"/>
  <c r="OF40" i="1"/>
  <c r="OG40" i="1"/>
  <c r="OH40" i="1"/>
  <c r="OI40" i="1"/>
  <c r="M107" i="6"/>
  <c r="M108" i="6"/>
  <c r="M97" i="6"/>
  <c r="M98" i="6"/>
  <c r="M78" i="6"/>
  <c r="M79" i="6"/>
  <c r="M80" i="6"/>
  <c r="M86" i="6"/>
  <c r="M87" i="6"/>
  <c r="M89" i="6"/>
  <c r="M91" i="6"/>
  <c r="AL28" i="6"/>
  <c r="N57" i="6"/>
  <c r="N52" i="6"/>
  <c r="N53" i="6"/>
  <c r="AO17" i="6"/>
  <c r="OM46" i="1"/>
  <c r="OL46" i="1"/>
  <c r="OK46" i="1"/>
  <c r="OM45" i="1"/>
  <c r="OL45" i="1"/>
  <c r="OK45" i="1"/>
  <c r="OM43" i="1"/>
  <c r="OL43" i="1"/>
  <c r="OK43" i="1"/>
  <c r="OM42" i="1"/>
  <c r="OL42" i="1"/>
  <c r="OK42" i="1"/>
  <c r="OM41" i="1"/>
  <c r="OL41" i="1"/>
  <c r="OK41" i="1"/>
  <c r="NY69" i="1"/>
  <c r="NZ69" i="1"/>
  <c r="OA69" i="1"/>
  <c r="OB69" i="1"/>
  <c r="OC69" i="1"/>
  <c r="OD69" i="1"/>
  <c r="OE69" i="1"/>
  <c r="OF69" i="1"/>
  <c r="OG69" i="1"/>
  <c r="OH69" i="1"/>
  <c r="NY70" i="1"/>
  <c r="NZ70" i="1"/>
  <c r="OA70" i="1"/>
  <c r="OB70" i="1"/>
  <c r="OC70" i="1"/>
  <c r="OD70" i="1"/>
  <c r="OE70" i="1"/>
  <c r="OF70" i="1"/>
  <c r="OG70" i="1"/>
  <c r="OH70" i="1"/>
  <c r="NY71" i="1"/>
  <c r="NZ71" i="1"/>
  <c r="OA71" i="1"/>
  <c r="OB71" i="1"/>
  <c r="OC71" i="1"/>
  <c r="OD71" i="1"/>
  <c r="OE71" i="1"/>
  <c r="OF71" i="1"/>
  <c r="OG71" i="1"/>
  <c r="OH71" i="1"/>
  <c r="NY73" i="1"/>
  <c r="NZ73" i="1"/>
  <c r="OA73" i="1"/>
  <c r="OB73" i="1"/>
  <c r="OC73" i="1"/>
  <c r="OD73" i="1"/>
  <c r="OE73" i="1"/>
  <c r="OF73" i="1"/>
  <c r="OG73" i="1"/>
  <c r="OH73" i="1"/>
  <c r="NY74" i="1"/>
  <c r="NZ74" i="1"/>
  <c r="OA74" i="1"/>
  <c r="OB74" i="1"/>
  <c r="OC74" i="1"/>
  <c r="OD74" i="1"/>
  <c r="OE74" i="1"/>
  <c r="OF74" i="1"/>
  <c r="OG74" i="1"/>
  <c r="OH74" i="1"/>
  <c r="NX70" i="1"/>
  <c r="NX71" i="1"/>
  <c r="NX73" i="1"/>
  <c r="NX74" i="1"/>
  <c r="NX69" i="1"/>
  <c r="ON64" i="1"/>
  <c r="OM64" i="1"/>
  <c r="OM74" i="1" s="1"/>
  <c r="OL64" i="1"/>
  <c r="OL74" i="1" s="1"/>
  <c r="OK64" i="1"/>
  <c r="OK74" i="1" s="1"/>
  <c r="ON63" i="1"/>
  <c r="OM63" i="1"/>
  <c r="OM73" i="1" s="1"/>
  <c r="OL63" i="1"/>
  <c r="OL73" i="1" s="1"/>
  <c r="OK63" i="1"/>
  <c r="OK73" i="1" s="1"/>
  <c r="ON61" i="1"/>
  <c r="OM61" i="1"/>
  <c r="OM71" i="1" s="1"/>
  <c r="OL61" i="1"/>
  <c r="OL71" i="1" s="1"/>
  <c r="OK61" i="1"/>
  <c r="OK71" i="1" s="1"/>
  <c r="ON60" i="1"/>
  <c r="OM60" i="1"/>
  <c r="OM70" i="1" s="1"/>
  <c r="OL60" i="1"/>
  <c r="OL70" i="1" s="1"/>
  <c r="OK60" i="1"/>
  <c r="OK70" i="1" s="1"/>
  <c r="ON59" i="1"/>
  <c r="OM59" i="1"/>
  <c r="OM69" i="1" s="1"/>
  <c r="OL59" i="1"/>
  <c r="OL69" i="1" s="1"/>
  <c r="OK59" i="1"/>
  <c r="OK69" i="1" s="1"/>
  <c r="OJ64" i="1"/>
  <c r="OJ63" i="1"/>
  <c r="OJ61" i="1"/>
  <c r="OJ60" i="1"/>
  <c r="OJ59" i="1"/>
  <c r="OI58" i="1"/>
  <c r="OH58" i="1"/>
  <c r="OG58" i="1"/>
  <c r="ON58" i="1" s="1"/>
  <c r="OF58" i="1"/>
  <c r="OE58" i="1"/>
  <c r="OD58" i="1"/>
  <c r="OC58" i="1"/>
  <c r="OB58" i="1"/>
  <c r="OA58" i="1"/>
  <c r="NZ58" i="1"/>
  <c r="OM58" i="1" s="1"/>
  <c r="NY58" i="1"/>
  <c r="OL58" i="1" s="1"/>
  <c r="NX58" i="1"/>
  <c r="AN7" i="6"/>
  <c r="AN6" i="6"/>
  <c r="AN5" i="6"/>
  <c r="AN4" i="6"/>
  <c r="AN3" i="6"/>
  <c r="M6" i="8"/>
  <c r="N6" i="8"/>
  <c r="O6" i="8"/>
  <c r="P6" i="8"/>
  <c r="Q6" i="8"/>
  <c r="R6" i="8"/>
  <c r="R25" i="8"/>
  <c r="Q25" i="8"/>
  <c r="P25" i="8"/>
  <c r="O25" i="8"/>
  <c r="N25" i="8"/>
  <c r="M25" i="8"/>
  <c r="W26" i="8"/>
  <c r="V4" i="3"/>
  <c r="W4" i="3"/>
  <c r="X4" i="3"/>
  <c r="Y4" i="3"/>
  <c r="V5" i="3"/>
  <c r="W5" i="3"/>
  <c r="X5" i="3"/>
  <c r="Y5" i="3"/>
  <c r="V6" i="3"/>
  <c r="W6" i="3"/>
  <c r="X6" i="3"/>
  <c r="Y6" i="3"/>
  <c r="V7" i="3"/>
  <c r="W7" i="3"/>
  <c r="X7" i="3"/>
  <c r="Y7" i="3"/>
  <c r="V8" i="3"/>
  <c r="W8" i="3"/>
  <c r="X8" i="3"/>
  <c r="Y8" i="3"/>
  <c r="V9" i="3"/>
  <c r="W9" i="3"/>
  <c r="X9" i="3"/>
  <c r="Y9" i="3"/>
  <c r="W3" i="3"/>
  <c r="X3" i="3"/>
  <c r="Y3" i="3"/>
  <c r="V3" i="3"/>
  <c r="R9" i="3"/>
  <c r="S9" i="3"/>
  <c r="T9" i="3"/>
  <c r="U9" i="3"/>
  <c r="U4" i="3"/>
  <c r="U5" i="3"/>
  <c r="U6" i="3"/>
  <c r="U7" i="3"/>
  <c r="U8" i="3"/>
  <c r="U3" i="3"/>
  <c r="T4" i="3"/>
  <c r="T5" i="3"/>
  <c r="T6" i="3"/>
  <c r="T7" i="3"/>
  <c r="T8" i="3"/>
  <c r="T3" i="3"/>
  <c r="S4" i="3"/>
  <c r="S5" i="3"/>
  <c r="S6" i="3"/>
  <c r="S7" i="3"/>
  <c r="S8" i="3"/>
  <c r="S3" i="3"/>
  <c r="R4" i="3"/>
  <c r="R5" i="3"/>
  <c r="R6" i="3"/>
  <c r="R7" i="3"/>
  <c r="R8" i="3"/>
  <c r="R3" i="3"/>
  <c r="Q10" i="6"/>
  <c r="OA68" i="1"/>
  <c r="OB68" i="1"/>
  <c r="OC68" i="1"/>
  <c r="OD68" i="1"/>
  <c r="OE68" i="1"/>
  <c r="OF68" i="1"/>
  <c r="OH68" i="1"/>
  <c r="M47" i="6"/>
  <c r="M81" i="6" s="1"/>
  <c r="M90" i="6"/>
  <c r="B79" i="6"/>
  <c r="C79" i="6"/>
  <c r="D79" i="6"/>
  <c r="E79" i="6"/>
  <c r="F79" i="6"/>
  <c r="G79" i="6"/>
  <c r="H79" i="6"/>
  <c r="I79" i="6"/>
  <c r="J79" i="6"/>
  <c r="K79" i="6"/>
  <c r="L79" i="6"/>
  <c r="B80" i="6"/>
  <c r="C80" i="6"/>
  <c r="D80" i="6"/>
  <c r="E80" i="6"/>
  <c r="F80" i="6"/>
  <c r="G80" i="6"/>
  <c r="H80" i="6"/>
  <c r="I80" i="6"/>
  <c r="J80" i="6"/>
  <c r="K80" i="6"/>
  <c r="L80" i="6"/>
  <c r="B81" i="6"/>
  <c r="C81" i="6"/>
  <c r="D81" i="6"/>
  <c r="E81" i="6"/>
  <c r="F81" i="6"/>
  <c r="G81" i="6"/>
  <c r="H81" i="6"/>
  <c r="I81" i="6"/>
  <c r="J81" i="6"/>
  <c r="K81" i="6"/>
  <c r="L81" i="6"/>
  <c r="B86" i="6"/>
  <c r="C86" i="6"/>
  <c r="D86" i="6"/>
  <c r="E86" i="6"/>
  <c r="F86" i="6"/>
  <c r="G86" i="6"/>
  <c r="H86" i="6"/>
  <c r="I86" i="6"/>
  <c r="J86" i="6"/>
  <c r="K86" i="6"/>
  <c r="L86" i="6"/>
  <c r="C87" i="6"/>
  <c r="D87" i="6"/>
  <c r="E87" i="6"/>
  <c r="F87" i="6"/>
  <c r="G87" i="6"/>
  <c r="H87" i="6"/>
  <c r="I87" i="6"/>
  <c r="J87" i="6"/>
  <c r="K87" i="6"/>
  <c r="L87" i="6"/>
  <c r="B89" i="6"/>
  <c r="C89" i="6"/>
  <c r="D89" i="6"/>
  <c r="E89" i="6"/>
  <c r="F89" i="6"/>
  <c r="G89" i="6"/>
  <c r="H89" i="6"/>
  <c r="I89" i="6"/>
  <c r="J89" i="6"/>
  <c r="K89" i="6"/>
  <c r="L89" i="6"/>
  <c r="B90" i="6"/>
  <c r="C90" i="6"/>
  <c r="D90" i="6"/>
  <c r="E90" i="6"/>
  <c r="F90" i="6"/>
  <c r="G90" i="6"/>
  <c r="H90" i="6"/>
  <c r="I90" i="6"/>
  <c r="J90" i="6"/>
  <c r="K90" i="6"/>
  <c r="L90" i="6"/>
  <c r="C91" i="6"/>
  <c r="D91" i="6"/>
  <c r="E91" i="6"/>
  <c r="F91" i="6"/>
  <c r="G91" i="6"/>
  <c r="H91" i="6"/>
  <c r="I91" i="6"/>
  <c r="J91" i="6"/>
  <c r="K91" i="6"/>
  <c r="L91" i="6"/>
  <c r="B97" i="6"/>
  <c r="C97" i="6"/>
  <c r="D97" i="6"/>
  <c r="E97" i="6"/>
  <c r="F97" i="6"/>
  <c r="G97" i="6"/>
  <c r="H97" i="6"/>
  <c r="I97" i="6"/>
  <c r="J97" i="6"/>
  <c r="K97" i="6"/>
  <c r="L97" i="6"/>
  <c r="B98" i="6"/>
  <c r="C98" i="6"/>
  <c r="D98" i="6"/>
  <c r="E98" i="6"/>
  <c r="F98" i="6"/>
  <c r="G98" i="6"/>
  <c r="H98" i="6"/>
  <c r="I98" i="6"/>
  <c r="J98" i="6"/>
  <c r="K98" i="6"/>
  <c r="L98" i="6"/>
  <c r="B105" i="6"/>
  <c r="C105" i="6"/>
  <c r="D105" i="6"/>
  <c r="E105" i="6"/>
  <c r="F105" i="6"/>
  <c r="G105" i="6"/>
  <c r="H105" i="6"/>
  <c r="I105" i="6"/>
  <c r="J105" i="6"/>
  <c r="K105" i="6"/>
  <c r="L105" i="6"/>
  <c r="B106" i="6"/>
  <c r="C106" i="6"/>
  <c r="D106" i="6"/>
  <c r="E106" i="6"/>
  <c r="F106" i="6"/>
  <c r="G106" i="6"/>
  <c r="H106" i="6"/>
  <c r="I106" i="6"/>
  <c r="J106" i="6"/>
  <c r="K106" i="6"/>
  <c r="L106" i="6"/>
  <c r="B107" i="6"/>
  <c r="C107" i="6"/>
  <c r="D107" i="6"/>
  <c r="E107" i="6"/>
  <c r="F107" i="6"/>
  <c r="G107" i="6"/>
  <c r="H107" i="6"/>
  <c r="I107" i="6"/>
  <c r="J107" i="6"/>
  <c r="K107" i="6"/>
  <c r="L107" i="6"/>
  <c r="B108" i="6"/>
  <c r="C108" i="6"/>
  <c r="D108" i="6"/>
  <c r="E108" i="6"/>
  <c r="F108" i="6"/>
  <c r="G108" i="6"/>
  <c r="H108" i="6"/>
  <c r="I108" i="6"/>
  <c r="J108" i="6"/>
  <c r="K108" i="6"/>
  <c r="L108" i="6"/>
  <c r="B109" i="6"/>
  <c r="C109" i="6"/>
  <c r="D109" i="6"/>
  <c r="E109" i="6"/>
  <c r="F109" i="6"/>
  <c r="G109" i="6"/>
  <c r="H109" i="6"/>
  <c r="I109" i="6"/>
  <c r="J109" i="6"/>
  <c r="K109" i="6"/>
  <c r="L109" i="6"/>
  <c r="C78" i="6"/>
  <c r="D78" i="6"/>
  <c r="E78" i="6"/>
  <c r="F78" i="6"/>
  <c r="G78" i="6"/>
  <c r="H78" i="6"/>
  <c r="I78" i="6"/>
  <c r="J78" i="6"/>
  <c r="K78" i="6"/>
  <c r="L78" i="6"/>
  <c r="B78" i="6"/>
  <c r="AI17" i="6"/>
  <c r="AL17" i="6"/>
  <c r="AF17" i="6"/>
  <c r="AC17" i="6"/>
  <c r="Z17" i="6"/>
  <c r="W17" i="6"/>
  <c r="T17" i="6"/>
  <c r="Q17" i="6"/>
  <c r="N17" i="6"/>
  <c r="K17" i="6"/>
  <c r="H17" i="6"/>
  <c r="N73" i="6"/>
  <c r="AL33" i="6"/>
  <c r="AI33" i="6"/>
  <c r="AF33" i="6"/>
  <c r="AC33" i="6"/>
  <c r="Z33" i="6"/>
  <c r="W33" i="6"/>
  <c r="T33" i="6"/>
  <c r="Q33" i="6"/>
  <c r="N33" i="6"/>
  <c r="K33" i="6"/>
  <c r="H33" i="6"/>
  <c r="T15" i="3"/>
  <c r="U15" i="3"/>
  <c r="V15" i="3"/>
  <c r="W15" i="3"/>
  <c r="T16" i="3"/>
  <c r="U16" i="3"/>
  <c r="V16" i="3"/>
  <c r="W16" i="3"/>
  <c r="T17" i="3"/>
  <c r="U17" i="3"/>
  <c r="V17" i="3"/>
  <c r="W17" i="3"/>
  <c r="T18" i="3"/>
  <c r="U18" i="3"/>
  <c r="V18" i="3"/>
  <c r="W18" i="3"/>
  <c r="T19" i="3"/>
  <c r="U19" i="3"/>
  <c r="V19" i="3"/>
  <c r="W19" i="3"/>
  <c r="T20" i="3"/>
  <c r="U20" i="3"/>
  <c r="V20" i="3"/>
  <c r="W20" i="3"/>
  <c r="T21" i="3"/>
  <c r="U21" i="3"/>
  <c r="V21" i="3"/>
  <c r="W21" i="3"/>
  <c r="T22" i="3"/>
  <c r="U22" i="3"/>
  <c r="V22" i="3"/>
  <c r="W22" i="3"/>
  <c r="T23" i="3"/>
  <c r="U23" i="3"/>
  <c r="V23" i="3"/>
  <c r="W23" i="3"/>
  <c r="T24" i="3"/>
  <c r="U24" i="3"/>
  <c r="V24" i="3"/>
  <c r="W24" i="3"/>
  <c r="T25" i="3"/>
  <c r="U25" i="3"/>
  <c r="V25" i="3"/>
  <c r="W25" i="3"/>
  <c r="T26" i="3"/>
  <c r="U26" i="3"/>
  <c r="V26" i="3"/>
  <c r="W26" i="3"/>
  <c r="T27" i="3"/>
  <c r="U27" i="3"/>
  <c r="V27" i="3"/>
  <c r="W27" i="3"/>
  <c r="T28" i="3"/>
  <c r="U28" i="3"/>
  <c r="V28" i="3"/>
  <c r="W28" i="3"/>
  <c r="T29" i="3"/>
  <c r="U29" i="3"/>
  <c r="V29" i="3"/>
  <c r="W29" i="3"/>
  <c r="T30" i="3"/>
  <c r="U30" i="3"/>
  <c r="V30" i="3"/>
  <c r="W30" i="3"/>
  <c r="T31" i="3"/>
  <c r="U31" i="3"/>
  <c r="V31" i="3"/>
  <c r="W31" i="3"/>
  <c r="T32" i="3"/>
  <c r="U32" i="3"/>
  <c r="V32" i="3"/>
  <c r="W32" i="3"/>
  <c r="T33" i="3"/>
  <c r="U33" i="3"/>
  <c r="V33" i="3"/>
  <c r="W33" i="3"/>
  <c r="T34" i="3"/>
  <c r="U34" i="3"/>
  <c r="V34" i="3"/>
  <c r="W34" i="3"/>
  <c r="T35" i="3"/>
  <c r="U35" i="3"/>
  <c r="V35" i="3"/>
  <c r="W35" i="3"/>
  <c r="T36" i="3"/>
  <c r="U36" i="3"/>
  <c r="V36" i="3"/>
  <c r="W36" i="3"/>
  <c r="T37" i="3"/>
  <c r="U37" i="3"/>
  <c r="V37" i="3"/>
  <c r="W37" i="3"/>
  <c r="T38" i="3"/>
  <c r="U38" i="3"/>
  <c r="V38" i="3"/>
  <c r="W38" i="3"/>
  <c r="T39" i="3"/>
  <c r="U39" i="3"/>
  <c r="V39" i="3"/>
  <c r="W39" i="3"/>
  <c r="T40" i="3"/>
  <c r="U40" i="3"/>
  <c r="V40" i="3"/>
  <c r="W40" i="3"/>
  <c r="T41" i="3"/>
  <c r="U41" i="3"/>
  <c r="V41" i="3"/>
  <c r="W41" i="3"/>
  <c r="W14" i="3"/>
  <c r="V14" i="3"/>
  <c r="U14" i="3"/>
  <c r="T14" i="3"/>
  <c r="M71" i="6"/>
  <c r="M106" i="6" s="1"/>
  <c r="M105" i="6"/>
  <c r="M74" i="6"/>
  <c r="M109" i="6" s="1"/>
  <c r="N72" i="6"/>
  <c r="N71" i="6"/>
  <c r="N70" i="6"/>
  <c r="N74" i="6" s="1"/>
  <c r="AL12" i="6"/>
  <c r="AI12" i="6"/>
  <c r="AF12" i="6"/>
  <c r="AC12" i="6"/>
  <c r="Z12" i="6"/>
  <c r="W12" i="6"/>
  <c r="T12" i="6"/>
  <c r="Q12" i="6"/>
  <c r="N12" i="6"/>
  <c r="K12" i="6"/>
  <c r="H12" i="6"/>
  <c r="AL36" i="6"/>
  <c r="AL38" i="6"/>
  <c r="AI38" i="6"/>
  <c r="AF38" i="6"/>
  <c r="AC38" i="6"/>
  <c r="Z38" i="6"/>
  <c r="W38" i="6"/>
  <c r="T38" i="6"/>
  <c r="Q38" i="6"/>
  <c r="AI36" i="6"/>
  <c r="AF36" i="6"/>
  <c r="AC36" i="6"/>
  <c r="Z36" i="6"/>
  <c r="W36" i="6"/>
  <c r="T36" i="6"/>
  <c r="Q36" i="6"/>
  <c r="N36" i="6"/>
  <c r="K36" i="6"/>
  <c r="H36" i="6"/>
  <c r="AM36" i="6"/>
  <c r="AL27" i="6"/>
  <c r="AL22" i="6"/>
  <c r="AI22" i="6"/>
  <c r="AI27" i="6"/>
  <c r="AF27" i="6"/>
  <c r="AF22" i="6"/>
  <c r="AC27" i="6"/>
  <c r="AC22" i="6"/>
  <c r="Z27" i="6"/>
  <c r="Z22" i="6"/>
  <c r="W27" i="6"/>
  <c r="W22" i="6"/>
  <c r="T27" i="6"/>
  <c r="T22" i="6"/>
  <c r="Q27" i="6"/>
  <c r="Q22" i="6"/>
  <c r="N27" i="6"/>
  <c r="N22" i="6"/>
  <c r="K27" i="6"/>
  <c r="K22" i="6"/>
  <c r="H27" i="6"/>
  <c r="H22" i="6"/>
  <c r="E22" i="6" s="1"/>
  <c r="AL21" i="6"/>
  <c r="AI21" i="6"/>
  <c r="AF21" i="6"/>
  <c r="AC21" i="6"/>
  <c r="Z21" i="6"/>
  <c r="W21" i="6"/>
  <c r="T21" i="6"/>
  <c r="Q21" i="6"/>
  <c r="N21" i="6"/>
  <c r="K21" i="6"/>
  <c r="H21" i="6"/>
  <c r="AO6" i="6"/>
  <c r="AO9" i="6"/>
  <c r="AO3" i="6" s="1"/>
  <c r="N63" i="6"/>
  <c r="N67" i="6" s="1"/>
  <c r="M67" i="6"/>
  <c r="M100" i="6" s="1"/>
  <c r="B58" i="6"/>
  <c r="B92" i="6" s="1"/>
  <c r="C58" i="6"/>
  <c r="C92" i="6" s="1"/>
  <c r="D58" i="6"/>
  <c r="D92" i="6" s="1"/>
  <c r="E58" i="6"/>
  <c r="E92" i="6" s="1"/>
  <c r="F58" i="6"/>
  <c r="F92" i="6" s="1"/>
  <c r="G58" i="6"/>
  <c r="G92" i="6" s="1"/>
  <c r="H58" i="6"/>
  <c r="H92" i="6" s="1"/>
  <c r="I58" i="6"/>
  <c r="I92" i="6" s="1"/>
  <c r="J58" i="6"/>
  <c r="J92" i="6" s="1"/>
  <c r="K58" i="6"/>
  <c r="K92" i="6" s="1"/>
  <c r="L58" i="6"/>
  <c r="L92" i="6" s="1"/>
  <c r="L67" i="6"/>
  <c r="L100" i="6" s="1"/>
  <c r="K67" i="6"/>
  <c r="K100" i="6" s="1"/>
  <c r="J67" i="6"/>
  <c r="J100" i="6" s="1"/>
  <c r="I67" i="6"/>
  <c r="I100" i="6" s="1"/>
  <c r="H67" i="6"/>
  <c r="H100" i="6" s="1"/>
  <c r="G67" i="6"/>
  <c r="G100" i="6" s="1"/>
  <c r="F67" i="6"/>
  <c r="F100" i="6" s="1"/>
  <c r="E67" i="6"/>
  <c r="E100" i="6" s="1"/>
  <c r="D67" i="6"/>
  <c r="D100" i="6" s="1"/>
  <c r="C67" i="6"/>
  <c r="C100" i="6" s="1"/>
  <c r="B67" i="6"/>
  <c r="B100" i="6" s="1"/>
  <c r="C48" i="6"/>
  <c r="C82" i="6" s="1"/>
  <c r="D48" i="6"/>
  <c r="D82" i="6" s="1"/>
  <c r="E48" i="6"/>
  <c r="E82" i="6" s="1"/>
  <c r="F48" i="6"/>
  <c r="F82" i="6" s="1"/>
  <c r="G48" i="6"/>
  <c r="G82" i="6" s="1"/>
  <c r="H48" i="6"/>
  <c r="H82" i="6" s="1"/>
  <c r="I48" i="6"/>
  <c r="I82" i="6" s="1"/>
  <c r="J48" i="6"/>
  <c r="J82" i="6" s="1"/>
  <c r="K48" i="6"/>
  <c r="K82" i="6" s="1"/>
  <c r="L48" i="6"/>
  <c r="L82" i="6" s="1"/>
  <c r="B48" i="6"/>
  <c r="B82" i="6" s="1"/>
  <c r="N45" i="6"/>
  <c r="N44" i="6"/>
  <c r="AO10" i="6"/>
  <c r="AO11" i="6"/>
  <c r="AO15" i="6"/>
  <c r="AO16" i="6"/>
  <c r="AL16" i="6"/>
  <c r="AI16" i="6"/>
  <c r="AF16" i="6"/>
  <c r="AC16" i="6"/>
  <c r="Z16" i="6"/>
  <c r="W16" i="6"/>
  <c r="T16" i="6"/>
  <c r="Q16" i="6"/>
  <c r="N16" i="6"/>
  <c r="K16" i="6"/>
  <c r="H16" i="6"/>
  <c r="AL11" i="6"/>
  <c r="AI11" i="6"/>
  <c r="AF11" i="6"/>
  <c r="AC11" i="6"/>
  <c r="Z11" i="6"/>
  <c r="W11" i="6"/>
  <c r="T11" i="6"/>
  <c r="Q11" i="6"/>
  <c r="N11" i="6"/>
  <c r="K11" i="6"/>
  <c r="H11" i="6"/>
  <c r="E11" i="6" s="1"/>
  <c r="AO23" i="6"/>
  <c r="AL23" i="6"/>
  <c r="AI23" i="6"/>
  <c r="AF23" i="6"/>
  <c r="AC23" i="6"/>
  <c r="Z23" i="6"/>
  <c r="W23" i="6"/>
  <c r="T23" i="6"/>
  <c r="Q23" i="6"/>
  <c r="N23" i="6"/>
  <c r="K23" i="6"/>
  <c r="H23" i="6"/>
  <c r="E23" i="6" s="1"/>
  <c r="AO18" i="6"/>
  <c r="AL18" i="6"/>
  <c r="AI18" i="6"/>
  <c r="AF18" i="6"/>
  <c r="AC18" i="6"/>
  <c r="Z18" i="6"/>
  <c r="W18" i="6"/>
  <c r="T18" i="6"/>
  <c r="Q18" i="6"/>
  <c r="N18" i="6"/>
  <c r="K18" i="6"/>
  <c r="H18" i="6"/>
  <c r="AL13" i="6"/>
  <c r="AI13" i="6"/>
  <c r="AF13" i="6"/>
  <c r="AC13" i="6"/>
  <c r="Z13" i="6"/>
  <c r="W13" i="6"/>
  <c r="T13" i="6"/>
  <c r="Q13" i="6"/>
  <c r="N13" i="6"/>
  <c r="K13" i="6"/>
  <c r="H13" i="6"/>
  <c r="AL15" i="6"/>
  <c r="AI15" i="6"/>
  <c r="AF15" i="6"/>
  <c r="AC15" i="6"/>
  <c r="Z15" i="6"/>
  <c r="W15" i="6"/>
  <c r="T15" i="6"/>
  <c r="Q15" i="6"/>
  <c r="N15" i="6"/>
  <c r="O15" i="6" s="1"/>
  <c r="K15" i="6"/>
  <c r="H15" i="6"/>
  <c r="AL10" i="6"/>
  <c r="AI10" i="6"/>
  <c r="AF10" i="6"/>
  <c r="AC10" i="6"/>
  <c r="Z10" i="6"/>
  <c r="W10" i="6"/>
  <c r="T10" i="6"/>
  <c r="K10" i="6"/>
  <c r="N10" i="6"/>
  <c r="H10" i="6"/>
  <c r="OI5" i="1"/>
  <c r="OI6" i="1"/>
  <c r="OI7" i="1"/>
  <c r="OI8" i="1"/>
  <c r="OI9" i="1"/>
  <c r="OI10" i="1"/>
  <c r="OI4" i="1"/>
  <c r="MN15" i="1"/>
  <c r="MN17" i="1"/>
  <c r="MN16" i="1"/>
  <c r="MN18" i="1"/>
  <c r="MN14" i="1"/>
  <c r="MJ16" i="1"/>
  <c r="C10" i="3"/>
  <c r="OH5" i="1"/>
  <c r="OH6" i="1"/>
  <c r="OH7" i="1"/>
  <c r="OH8" i="1"/>
  <c r="OH9" i="1"/>
  <c r="OH10" i="1"/>
  <c r="OH4" i="1"/>
  <c r="AK3" i="6"/>
  <c r="AK4" i="6"/>
  <c r="AK5" i="6"/>
  <c r="AK6" i="6"/>
  <c r="AK7" i="6"/>
  <c r="LW15" i="1"/>
  <c r="LX15" i="1"/>
  <c r="LY15" i="1"/>
  <c r="LZ15" i="1"/>
  <c r="LW16" i="1"/>
  <c r="LX16" i="1"/>
  <c r="LY16" i="1"/>
  <c r="LZ16" i="1"/>
  <c r="LW17" i="1"/>
  <c r="LX17" i="1"/>
  <c r="LY17" i="1"/>
  <c r="LZ17" i="1"/>
  <c r="LK17" i="1"/>
  <c r="LK16" i="1"/>
  <c r="LK15" i="1"/>
  <c r="LL15" i="1"/>
  <c r="LM15" i="1"/>
  <c r="LN15" i="1"/>
  <c r="LO15" i="1"/>
  <c r="LP15" i="1"/>
  <c r="LQ15" i="1"/>
  <c r="LR15" i="1"/>
  <c r="LS15" i="1"/>
  <c r="LT15" i="1"/>
  <c r="LU15" i="1"/>
  <c r="LL16" i="1"/>
  <c r="LM16" i="1"/>
  <c r="LN16" i="1"/>
  <c r="LO16" i="1"/>
  <c r="LP16" i="1"/>
  <c r="LQ16" i="1"/>
  <c r="LR16" i="1"/>
  <c r="LS16" i="1"/>
  <c r="LT16" i="1"/>
  <c r="LU16" i="1"/>
  <c r="LL17" i="1"/>
  <c r="LM17" i="1"/>
  <c r="LN17" i="1"/>
  <c r="LO17" i="1"/>
  <c r="LP17" i="1"/>
  <c r="LQ17" i="1"/>
  <c r="LR17" i="1"/>
  <c r="LS17" i="1"/>
  <c r="LT17" i="1"/>
  <c r="LU17" i="1"/>
  <c r="LV17" i="1"/>
  <c r="AE4" i="6"/>
  <c r="AF4" i="6"/>
  <c r="AF5" i="6"/>
  <c r="AF6" i="6"/>
  <c r="AF7" i="6"/>
  <c r="AL35" i="6"/>
  <c r="AL25" i="6"/>
  <c r="AL20" i="6"/>
  <c r="I48" i="1"/>
  <c r="AI32" i="6"/>
  <c r="E32" i="6" s="1"/>
  <c r="OG5" i="1"/>
  <c r="OG6" i="1"/>
  <c r="OG7" i="1"/>
  <c r="OG8" i="1"/>
  <c r="OG9" i="1"/>
  <c r="OG10" i="1"/>
  <c r="OG4" i="1"/>
  <c r="ON24" i="1"/>
  <c r="ON25" i="1"/>
  <c r="ON26" i="1"/>
  <c r="ON27" i="1"/>
  <c r="ON28" i="1"/>
  <c r="ON29" i="1"/>
  <c r="OK24" i="1"/>
  <c r="OL24" i="1"/>
  <c r="OM24" i="1"/>
  <c r="OK25" i="1"/>
  <c r="OL25" i="1"/>
  <c r="OM25" i="1"/>
  <c r="OK26" i="1"/>
  <c r="OL26" i="1"/>
  <c r="OM26" i="1"/>
  <c r="OK27" i="1"/>
  <c r="OL27" i="1"/>
  <c r="OM27" i="1"/>
  <c r="OK28" i="1"/>
  <c r="OL28" i="1"/>
  <c r="OM28" i="1"/>
  <c r="OK29" i="1"/>
  <c r="OL29" i="1"/>
  <c r="OM29" i="1"/>
  <c r="NX5" i="1"/>
  <c r="NY5" i="1"/>
  <c r="NZ5" i="1"/>
  <c r="OA5" i="1"/>
  <c r="OB5" i="1"/>
  <c r="OC5" i="1"/>
  <c r="OD5" i="1"/>
  <c r="OE5" i="1"/>
  <c r="OF5" i="1"/>
  <c r="OK5" i="1"/>
  <c r="OL5" i="1"/>
  <c r="OM5" i="1"/>
  <c r="NX6" i="1"/>
  <c r="NY6" i="1"/>
  <c r="NZ6" i="1"/>
  <c r="OA6" i="1"/>
  <c r="OB6" i="1"/>
  <c r="OC6" i="1"/>
  <c r="OD6" i="1"/>
  <c r="OE6" i="1"/>
  <c r="OF6" i="1"/>
  <c r="OK6" i="1"/>
  <c r="OL6" i="1"/>
  <c r="OM6" i="1"/>
  <c r="NX7" i="1"/>
  <c r="NY7" i="1"/>
  <c r="NZ7" i="1"/>
  <c r="OA7" i="1"/>
  <c r="OB7" i="1"/>
  <c r="OC7" i="1"/>
  <c r="OD7" i="1"/>
  <c r="OE7" i="1"/>
  <c r="OF7" i="1"/>
  <c r="OK7" i="1"/>
  <c r="OL7" i="1"/>
  <c r="OM7" i="1"/>
  <c r="NX8" i="1"/>
  <c r="NY8" i="1"/>
  <c r="NZ8" i="1"/>
  <c r="OA8" i="1"/>
  <c r="OB8" i="1"/>
  <c r="OC8" i="1"/>
  <c r="OD8" i="1"/>
  <c r="OE8" i="1"/>
  <c r="OF8" i="1"/>
  <c r="OK8" i="1"/>
  <c r="OL8" i="1"/>
  <c r="OM8" i="1"/>
  <c r="NX9" i="1"/>
  <c r="NY9" i="1"/>
  <c r="NZ9" i="1"/>
  <c r="OA9" i="1"/>
  <c r="OB9" i="1"/>
  <c r="OC9" i="1"/>
  <c r="OD9" i="1"/>
  <c r="OE9" i="1"/>
  <c r="OF9" i="1"/>
  <c r="OK9" i="1"/>
  <c r="OL9" i="1"/>
  <c r="OM9" i="1"/>
  <c r="NX10" i="1"/>
  <c r="NY10" i="1"/>
  <c r="NZ10" i="1"/>
  <c r="OA10" i="1"/>
  <c r="OB10" i="1"/>
  <c r="OC10" i="1"/>
  <c r="OD10" i="1"/>
  <c r="OE10" i="1"/>
  <c r="OF10" i="1"/>
  <c r="OK10" i="1"/>
  <c r="OL10" i="1"/>
  <c r="OM10" i="1"/>
  <c r="NY4" i="1"/>
  <c r="NY14" i="1"/>
  <c r="NY49" i="1" s="1"/>
  <c r="NY15" i="1"/>
  <c r="NY50" i="1" s="1"/>
  <c r="OJ25" i="1"/>
  <c r="OJ26" i="1"/>
  <c r="OJ27" i="1"/>
  <c r="OJ28" i="1"/>
  <c r="OJ29" i="1"/>
  <c r="OJ24" i="1"/>
  <c r="OI23" i="1"/>
  <c r="OH23" i="1"/>
  <c r="OG23" i="1"/>
  <c r="ON23" i="1" s="1"/>
  <c r="OF23" i="1"/>
  <c r="OE23" i="1"/>
  <c r="OD23" i="1"/>
  <c r="OC23" i="1"/>
  <c r="OB23" i="1"/>
  <c r="OA23" i="1"/>
  <c r="NZ23" i="1"/>
  <c r="OM23" i="1" s="1"/>
  <c r="NY23" i="1"/>
  <c r="NX23" i="1"/>
  <c r="OH14" i="1"/>
  <c r="NY33" i="1"/>
  <c r="OH15" i="1"/>
  <c r="NY16" i="1"/>
  <c r="OH16" i="1"/>
  <c r="NY17" i="1"/>
  <c r="OH17" i="1"/>
  <c r="NY18" i="1"/>
  <c r="OH18" i="1"/>
  <c r="NY19" i="1"/>
  <c r="OH19" i="1"/>
  <c r="NY20" i="1"/>
  <c r="OH20" i="1"/>
  <c r="NX4" i="1"/>
  <c r="OF15" i="1"/>
  <c r="OF16" i="1"/>
  <c r="OF17" i="1"/>
  <c r="OF18" i="1"/>
  <c r="OF19" i="1"/>
  <c r="OF20" i="1"/>
  <c r="OF4" i="1"/>
  <c r="OF14" i="1" s="1"/>
  <c r="OE15" i="1"/>
  <c r="OE16" i="1"/>
  <c r="OE17" i="1"/>
  <c r="OE18" i="1"/>
  <c r="OE19" i="1"/>
  <c r="OE20" i="1"/>
  <c r="OE4" i="1"/>
  <c r="OE14" i="1" s="1"/>
  <c r="OD4" i="1"/>
  <c r="OM4" i="1" s="1"/>
  <c r="OC15" i="1"/>
  <c r="OC16" i="1"/>
  <c r="OC17" i="1"/>
  <c r="OC18" i="1"/>
  <c r="OC19" i="1"/>
  <c r="OC20" i="1"/>
  <c r="OC4" i="1"/>
  <c r="OC14" i="1" s="1"/>
  <c r="OB15" i="1"/>
  <c r="OB16" i="1"/>
  <c r="OB17" i="1"/>
  <c r="OB18" i="1"/>
  <c r="OB19" i="1"/>
  <c r="OB20" i="1"/>
  <c r="OB4" i="1"/>
  <c r="OB14" i="1" s="1"/>
  <c r="OA4" i="1"/>
  <c r="NZ15" i="1"/>
  <c r="NZ16" i="1"/>
  <c r="NZ17" i="1"/>
  <c r="NZ18" i="1"/>
  <c r="NZ19" i="1"/>
  <c r="NZ20" i="1"/>
  <c r="NZ4" i="1"/>
  <c r="NZ14" i="1" s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LV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LV16" i="1"/>
  <c r="MA16" i="1"/>
  <c r="MB16" i="1"/>
  <c r="MC16" i="1"/>
  <c r="MD16" i="1"/>
  <c r="ME16" i="1"/>
  <c r="MF16" i="1"/>
  <c r="MG16" i="1"/>
  <c r="MH16" i="1"/>
  <c r="MI16" i="1"/>
  <c r="MK16" i="1"/>
  <c r="ML16" i="1"/>
  <c r="MM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LK26" i="1"/>
  <c r="LL26" i="1"/>
  <c r="LM26" i="1"/>
  <c r="LN26" i="1"/>
  <c r="LO26" i="1"/>
  <c r="LP26" i="1"/>
  <c r="LQ26" i="1"/>
  <c r="LR26" i="1"/>
  <c r="LS26" i="1"/>
  <c r="LT26" i="1"/>
  <c r="LU26" i="1"/>
  <c r="LV26" i="1"/>
  <c r="LW26" i="1"/>
  <c r="LX26" i="1"/>
  <c r="LY26" i="1"/>
  <c r="LZ26" i="1"/>
  <c r="MA26" i="1"/>
  <c r="MB26" i="1"/>
  <c r="MC26" i="1"/>
  <c r="MD26" i="1"/>
  <c r="ME26" i="1"/>
  <c r="MF26" i="1"/>
  <c r="MG26" i="1"/>
  <c r="MH26" i="1"/>
  <c r="MI26" i="1"/>
  <c r="MJ26" i="1"/>
  <c r="MK26" i="1"/>
  <c r="ML26" i="1"/>
  <c r="MM26" i="1"/>
  <c r="MN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Q14" i="6"/>
  <c r="Z19" i="6"/>
  <c r="W19" i="6"/>
  <c r="Q19" i="6"/>
  <c r="P19" i="6"/>
  <c r="T19" i="6"/>
  <c r="KI16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AX16" i="6"/>
  <c r="AX17" i="6"/>
  <c r="AX18" i="6"/>
  <c r="AU16" i="6"/>
  <c r="AU17" i="6"/>
  <c r="AU18" i="6"/>
  <c r="AU15" i="6"/>
  <c r="AU19" i="6" s="1"/>
  <c r="AR16" i="6"/>
  <c r="AR17" i="6"/>
  <c r="AR18" i="6"/>
  <c r="AR15" i="6"/>
  <c r="I49" i="1"/>
  <c r="F33" i="1"/>
  <c r="G33" i="1"/>
  <c r="I33" i="1"/>
  <c r="AI31" i="6"/>
  <c r="E31" i="6" s="1"/>
  <c r="AI30" i="6"/>
  <c r="AI6" i="6"/>
  <c r="AI25" i="6"/>
  <c r="R8" i="1"/>
  <c r="AH3" i="6"/>
  <c r="AH4" i="6"/>
  <c r="AH5" i="6"/>
  <c r="AH6" i="6"/>
  <c r="AH7" i="6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KF16" i="1"/>
  <c r="KG16" i="1"/>
  <c r="KH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M8" i="1"/>
  <c r="E54" i="1"/>
  <c r="I54" i="1"/>
  <c r="E55" i="1"/>
  <c r="H55" i="1"/>
  <c r="I55" i="1"/>
  <c r="I56" i="1"/>
  <c r="E57" i="1"/>
  <c r="H57" i="1"/>
  <c r="I57" i="1"/>
  <c r="E58" i="1"/>
  <c r="G58" i="1"/>
  <c r="H58" i="1"/>
  <c r="I58" i="1"/>
  <c r="D67" i="1"/>
  <c r="D58" i="1"/>
  <c r="AE6" i="6"/>
  <c r="AE7" i="6"/>
  <c r="AE5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10" i="6"/>
  <c r="D11" i="6"/>
  <c r="D12" i="6"/>
  <c r="D13" i="6"/>
  <c r="D4" i="6"/>
  <c r="D5" i="6"/>
  <c r="D6" i="6"/>
  <c r="D7" i="6"/>
  <c r="AW11" i="6"/>
  <c r="AW12" i="6"/>
  <c r="H6" i="6"/>
  <c r="N14" i="6"/>
  <c r="J14" i="6"/>
  <c r="K14" i="6"/>
  <c r="L14" i="6"/>
  <c r="M14" i="6"/>
  <c r="O14" i="6"/>
  <c r="P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H14" i="6"/>
  <c r="AI14" i="6"/>
  <c r="AJ14" i="6"/>
  <c r="AK14" i="6"/>
  <c r="AL14" i="6"/>
  <c r="AM14" i="6"/>
  <c r="AN14" i="6"/>
  <c r="AT17" i="6"/>
  <c r="AT18" i="6"/>
  <c r="D11" i="8"/>
  <c r="D9" i="6"/>
  <c r="Q4" i="1"/>
  <c r="AE3" i="6"/>
  <c r="AE8" i="6" s="1"/>
  <c r="E35" i="6"/>
  <c r="E30" i="6"/>
  <c r="E27" i="6"/>
  <c r="E25" i="6"/>
  <c r="AD11" i="6"/>
  <c r="AC5" i="6"/>
  <c r="AB6" i="6"/>
  <c r="AB5" i="6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A26" i="1"/>
  <c r="KB26" i="1"/>
  <c r="KC26" i="1"/>
  <c r="KD26" i="1"/>
  <c r="KE26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F26" i="1"/>
  <c r="JA22" i="1"/>
  <c r="K8" i="8"/>
  <c r="AB7" i="6"/>
  <c r="AB4" i="6"/>
  <c r="AB3" i="6"/>
  <c r="J54" i="1"/>
  <c r="AC4" i="6"/>
  <c r="O8" i="8"/>
  <c r="P8" i="8"/>
  <c r="Q8" i="8"/>
  <c r="R8" i="8"/>
  <c r="G8" i="8"/>
  <c r="H8" i="8"/>
  <c r="I8" i="8"/>
  <c r="J8" i="8"/>
  <c r="L8" i="8"/>
  <c r="M8" i="8"/>
  <c r="N8" i="8"/>
  <c r="H7" i="8"/>
  <c r="I7" i="8"/>
  <c r="J7" i="8"/>
  <c r="K7" i="8"/>
  <c r="L7" i="8"/>
  <c r="M7" i="8"/>
  <c r="N7" i="8"/>
  <c r="O7" i="8"/>
  <c r="P7" i="8"/>
  <c r="Q7" i="8"/>
  <c r="R7" i="8"/>
  <c r="G7" i="8"/>
  <c r="H6" i="8"/>
  <c r="I6" i="8"/>
  <c r="J6" i="8"/>
  <c r="K6" i="8"/>
  <c r="L6" i="8"/>
  <c r="G6" i="8"/>
  <c r="H5" i="8"/>
  <c r="I5" i="8"/>
  <c r="J5" i="8"/>
  <c r="K5" i="8"/>
  <c r="L5" i="8"/>
  <c r="M5" i="8"/>
  <c r="N5" i="8"/>
  <c r="O5" i="8"/>
  <c r="P5" i="8"/>
  <c r="Q5" i="8"/>
  <c r="R5" i="8"/>
  <c r="G5" i="8"/>
  <c r="H4" i="8"/>
  <c r="I4" i="8"/>
  <c r="J4" i="8"/>
  <c r="K4" i="8"/>
  <c r="L4" i="8"/>
  <c r="M4" i="8"/>
  <c r="N4" i="8"/>
  <c r="O4" i="8"/>
  <c r="P4" i="8"/>
  <c r="Q4" i="8"/>
  <c r="R4" i="8"/>
  <c r="G4" i="8"/>
  <c r="H3" i="8"/>
  <c r="I3" i="8"/>
  <c r="J3" i="8"/>
  <c r="K3" i="8"/>
  <c r="L3" i="8"/>
  <c r="M3" i="8"/>
  <c r="N3" i="8"/>
  <c r="O3" i="8"/>
  <c r="P3" i="8"/>
  <c r="Q3" i="8"/>
  <c r="R3" i="8"/>
  <c r="G3" i="8"/>
  <c r="H17" i="8"/>
  <c r="I17" i="8"/>
  <c r="J17" i="8"/>
  <c r="K17" i="8"/>
  <c r="L17" i="8"/>
  <c r="M17" i="8"/>
  <c r="N17" i="8"/>
  <c r="O17" i="8"/>
  <c r="P17" i="8"/>
  <c r="Q17" i="8"/>
  <c r="R17" i="8"/>
  <c r="G17" i="8"/>
  <c r="L25" i="8"/>
  <c r="K25" i="8"/>
  <c r="J25" i="8"/>
  <c r="I25" i="8"/>
  <c r="H25" i="8"/>
  <c r="G25" i="8"/>
  <c r="R22" i="8"/>
  <c r="Q22" i="8"/>
  <c r="P22" i="8"/>
  <c r="O22" i="8"/>
  <c r="N22" i="8"/>
  <c r="M22" i="8"/>
  <c r="L22" i="8"/>
  <c r="K22" i="8"/>
  <c r="J22" i="8"/>
  <c r="I22" i="8"/>
  <c r="H22" i="8"/>
  <c r="G22" i="8"/>
  <c r="H14" i="8"/>
  <c r="I14" i="8"/>
  <c r="J14" i="8"/>
  <c r="K14" i="8"/>
  <c r="L14" i="8"/>
  <c r="M14" i="8"/>
  <c r="N14" i="8"/>
  <c r="O14" i="8"/>
  <c r="P14" i="8"/>
  <c r="Q14" i="8"/>
  <c r="R14" i="8"/>
  <c r="G14" i="8"/>
  <c r="I2" i="8"/>
  <c r="J2" i="8"/>
  <c r="K2" i="8"/>
  <c r="L2" i="8"/>
  <c r="M2" i="8"/>
  <c r="N2" i="8"/>
  <c r="P2" i="8"/>
  <c r="R2" i="8"/>
  <c r="H2" i="8"/>
  <c r="G2" i="8"/>
  <c r="E7" i="1"/>
  <c r="E47" i="1"/>
  <c r="BY47" i="6" s="1"/>
  <c r="BV33" i="6" s="1"/>
  <c r="BS33" i="6" s="1"/>
  <c r="E66" i="1"/>
  <c r="D7" i="1"/>
  <c r="D47" i="1" s="1"/>
  <c r="BX46" i="6" s="1"/>
  <c r="BV18" i="6" s="1"/>
  <c r="G7" i="1"/>
  <c r="F7" i="1"/>
  <c r="F47" i="1"/>
  <c r="BZ46" i="6" s="1"/>
  <c r="BV13" i="6" s="1"/>
  <c r="I7" i="1"/>
  <c r="I47" i="1" s="1"/>
  <c r="H7" i="1"/>
  <c r="IZ15" i="1"/>
  <c r="JA15" i="1"/>
  <c r="IZ16" i="1"/>
  <c r="JA16" i="1"/>
  <c r="IZ17" i="1"/>
  <c r="JA17" i="1"/>
  <c r="IZ18" i="1"/>
  <c r="JA18" i="1"/>
  <c r="IZ22" i="1"/>
  <c r="IZ26" i="1"/>
  <c r="JA26" i="1"/>
  <c r="IZ30" i="1"/>
  <c r="JA30" i="1"/>
  <c r="IZ34" i="1"/>
  <c r="JA34" i="1"/>
  <c r="IZ38" i="1"/>
  <c r="JA38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U26" i="1"/>
  <c r="IV26" i="1"/>
  <c r="IW26" i="1"/>
  <c r="IX26" i="1"/>
  <c r="IY26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HW34" i="1"/>
  <c r="HX34" i="1"/>
  <c r="HY34" i="1"/>
  <c r="HZ34" i="1"/>
  <c r="IA34" i="1"/>
  <c r="IB34" i="1"/>
  <c r="IC34" i="1"/>
  <c r="ID34" i="1"/>
  <c r="IE34" i="1"/>
  <c r="IF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Z26" i="8"/>
  <c r="Y26" i="8"/>
  <c r="X26" i="8"/>
  <c r="E25" i="8"/>
  <c r="F25" i="8"/>
  <c r="D25" i="8"/>
  <c r="F2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HM26" i="1"/>
  <c r="HN26" i="1"/>
  <c r="HO26" i="1"/>
  <c r="HP26" i="1"/>
  <c r="HQ26" i="1"/>
  <c r="HR26" i="1"/>
  <c r="HS26" i="1"/>
  <c r="HT26" i="1"/>
  <c r="HU26" i="1"/>
  <c r="HV26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Y7" i="6"/>
  <c r="Y6" i="6"/>
  <c r="Y5" i="6"/>
  <c r="Y4" i="6"/>
  <c r="Y3" i="6"/>
  <c r="AW3" i="6" s="1"/>
  <c r="GF17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FW17" i="1"/>
  <c r="FX17" i="1"/>
  <c r="FY17" i="1"/>
  <c r="FZ17" i="1"/>
  <c r="GA17" i="1"/>
  <c r="GB17" i="1"/>
  <c r="GC17" i="1"/>
  <c r="GD17" i="1"/>
  <c r="GE17" i="1"/>
  <c r="GG17" i="1"/>
  <c r="GH17" i="1"/>
  <c r="GI17" i="1"/>
  <c r="GJ17" i="1"/>
  <c r="GK17" i="1"/>
  <c r="GL17" i="1"/>
  <c r="GM17" i="1"/>
  <c r="GN17" i="1"/>
  <c r="GO17" i="1"/>
  <c r="GP17" i="1"/>
  <c r="GQ17" i="1"/>
  <c r="FV15" i="1"/>
  <c r="R12" i="6"/>
  <c r="GF30" i="1"/>
  <c r="GE30" i="1"/>
  <c r="FZ30" i="1"/>
  <c r="J49" i="1"/>
  <c r="J76" i="1" s="1"/>
  <c r="J55" i="1"/>
  <c r="J56" i="1"/>
  <c r="J57" i="1"/>
  <c r="J58" i="1"/>
  <c r="W6" i="6"/>
  <c r="J16" i="1"/>
  <c r="J17" i="1"/>
  <c r="E6" i="8"/>
  <c r="D9" i="8"/>
  <c r="J14" i="1"/>
  <c r="V7" i="6"/>
  <c r="V6" i="6"/>
  <c r="V5" i="6"/>
  <c r="V4" i="6"/>
  <c r="V3" i="6"/>
  <c r="F6" i="1"/>
  <c r="F46" i="1" s="1"/>
  <c r="BZ45" i="6" s="1"/>
  <c r="BV11" i="6" s="1"/>
  <c r="G6" i="1"/>
  <c r="G46" i="1" s="1"/>
  <c r="D6" i="1"/>
  <c r="D46" i="1" s="1"/>
  <c r="BX45" i="6" s="1"/>
  <c r="BV16" i="6" s="1"/>
  <c r="J7" i="1"/>
  <c r="FO15" i="1"/>
  <c r="FP15" i="1"/>
  <c r="FQ15" i="1"/>
  <c r="FR15" i="1"/>
  <c r="FS15" i="1"/>
  <c r="FT15" i="1"/>
  <c r="FU15" i="1"/>
  <c r="FO16" i="1"/>
  <c r="FP16" i="1"/>
  <c r="FQ16" i="1"/>
  <c r="FR16" i="1"/>
  <c r="FS16" i="1"/>
  <c r="FT16" i="1"/>
  <c r="FU16" i="1"/>
  <c r="FV16" i="1"/>
  <c r="FO17" i="1"/>
  <c r="FP17" i="1"/>
  <c r="FQ17" i="1"/>
  <c r="FR17" i="1"/>
  <c r="FS17" i="1"/>
  <c r="FT17" i="1"/>
  <c r="FU17" i="1"/>
  <c r="FV17" i="1"/>
  <c r="FN16" i="1"/>
  <c r="FN17" i="1"/>
  <c r="FN15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GQ30" i="1"/>
  <c r="GP30" i="1"/>
  <c r="GO30" i="1"/>
  <c r="GN30" i="1"/>
  <c r="GM30" i="1"/>
  <c r="GL30" i="1"/>
  <c r="GK30" i="1"/>
  <c r="GJ30" i="1"/>
  <c r="GI30" i="1"/>
  <c r="GH30" i="1"/>
  <c r="GG30" i="1"/>
  <c r="GD30" i="1"/>
  <c r="GC30" i="1"/>
  <c r="GB30" i="1"/>
  <c r="GA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E6" i="1"/>
  <c r="E46" i="1" s="1"/>
  <c r="BY46" i="6" s="1"/>
  <c r="I6" i="1"/>
  <c r="I46" i="1" s="1"/>
  <c r="H6" i="1"/>
  <c r="EK17" i="1"/>
  <c r="EN17" i="1"/>
  <c r="EO16" i="1"/>
  <c r="FK25" i="1"/>
  <c r="AT12" i="6"/>
  <c r="F67" i="1"/>
  <c r="S7" i="6"/>
  <c r="S6" i="6"/>
  <c r="S5" i="6"/>
  <c r="S4" i="6"/>
  <c r="S3" i="6"/>
  <c r="S8" i="6"/>
  <c r="Q7" i="6"/>
  <c r="F53" i="1"/>
  <c r="S29" i="3"/>
  <c r="S28" i="3"/>
  <c r="S27" i="3"/>
  <c r="S26" i="3"/>
  <c r="S25" i="3"/>
  <c r="S19" i="3"/>
  <c r="S18" i="3"/>
  <c r="S17" i="3"/>
  <c r="S16" i="3"/>
  <c r="S15" i="3"/>
  <c r="S14" i="3"/>
  <c r="F27" i="1"/>
  <c r="AZ4" i="6"/>
  <c r="AZ5" i="6"/>
  <c r="AZ6" i="6"/>
  <c r="AZ7" i="6"/>
  <c r="AZ9" i="6"/>
  <c r="BA9" i="6"/>
  <c r="AZ10" i="6"/>
  <c r="BA10" i="6"/>
  <c r="AZ11" i="6"/>
  <c r="BA11" i="6"/>
  <c r="AZ12" i="6"/>
  <c r="BA12" i="6"/>
  <c r="AZ13" i="6"/>
  <c r="AZ15" i="6"/>
  <c r="BA15" i="6"/>
  <c r="AZ16" i="6"/>
  <c r="BA16" i="6"/>
  <c r="AZ17" i="6"/>
  <c r="BA17" i="6"/>
  <c r="AZ18" i="6"/>
  <c r="BA18" i="6"/>
  <c r="AZ20" i="6"/>
  <c r="BA20" i="6"/>
  <c r="AZ21" i="6"/>
  <c r="AZ22" i="6"/>
  <c r="BA22" i="6"/>
  <c r="AZ23" i="6"/>
  <c r="BA23" i="6"/>
  <c r="AZ25" i="6"/>
  <c r="BA25" i="6"/>
  <c r="AZ26" i="6"/>
  <c r="AZ27" i="6"/>
  <c r="BA27" i="6"/>
  <c r="AZ28" i="6"/>
  <c r="AZ30" i="6"/>
  <c r="BA30" i="6"/>
  <c r="AZ31" i="6"/>
  <c r="BA31" i="6"/>
  <c r="AZ32" i="6"/>
  <c r="BA32" i="6"/>
  <c r="AZ33" i="6"/>
  <c r="AZ35" i="6"/>
  <c r="BA35" i="6"/>
  <c r="AZ36" i="6"/>
  <c r="AZ37" i="6"/>
  <c r="AZ38" i="6"/>
  <c r="AZ3" i="6"/>
  <c r="AX9" i="6"/>
  <c r="AX10" i="6"/>
  <c r="AX13" i="6"/>
  <c r="AX15" i="6"/>
  <c r="BD15" i="6" s="1"/>
  <c r="BF15" i="6" s="1"/>
  <c r="AX30" i="6"/>
  <c r="AX31" i="6"/>
  <c r="AX32" i="6"/>
  <c r="AX33" i="6"/>
  <c r="AX35" i="6"/>
  <c r="AX36" i="6"/>
  <c r="AX37" i="6"/>
  <c r="AX38" i="6"/>
  <c r="AW4" i="6"/>
  <c r="AW5" i="6"/>
  <c r="AW6" i="6"/>
  <c r="AW7" i="6"/>
  <c r="AW9" i="6"/>
  <c r="AW10" i="6"/>
  <c r="AW13" i="6"/>
  <c r="AW15" i="6"/>
  <c r="AW16" i="6"/>
  <c r="AW17" i="6"/>
  <c r="AW18" i="6"/>
  <c r="AW20" i="6"/>
  <c r="BC20" i="6" s="1"/>
  <c r="AW21" i="6"/>
  <c r="AW22" i="6"/>
  <c r="AW23" i="6"/>
  <c r="AW25" i="6"/>
  <c r="AW27" i="6"/>
  <c r="AW28" i="6"/>
  <c r="AW30" i="6"/>
  <c r="AW31" i="6"/>
  <c r="AW32" i="6"/>
  <c r="AW33" i="6"/>
  <c r="AW35" i="6"/>
  <c r="AW36" i="6"/>
  <c r="AW37" i="6"/>
  <c r="AW38" i="6"/>
  <c r="AT9" i="6"/>
  <c r="AT10" i="6"/>
  <c r="AT11" i="6"/>
  <c r="AT13" i="6"/>
  <c r="AT15" i="6"/>
  <c r="AT16" i="6"/>
  <c r="AT21" i="6"/>
  <c r="AT22" i="6"/>
  <c r="AT23" i="6"/>
  <c r="AT25" i="6"/>
  <c r="AU25" i="6"/>
  <c r="AT26" i="6"/>
  <c r="AU26" i="6"/>
  <c r="AT27" i="6"/>
  <c r="AU27" i="6"/>
  <c r="AT28" i="6"/>
  <c r="AU28" i="6"/>
  <c r="AT30" i="6"/>
  <c r="AU30" i="6"/>
  <c r="AT31" i="6"/>
  <c r="AU31" i="6"/>
  <c r="AT32" i="6"/>
  <c r="AU32" i="6"/>
  <c r="AT33" i="6"/>
  <c r="AT35" i="6"/>
  <c r="AU35" i="6"/>
  <c r="AT36" i="6"/>
  <c r="AT37" i="6"/>
  <c r="AU37" i="6"/>
  <c r="AT38" i="6"/>
  <c r="AU38" i="6"/>
  <c r="AU36" i="6"/>
  <c r="AT7" i="6"/>
  <c r="AT6" i="6"/>
  <c r="AT5" i="6"/>
  <c r="AT4" i="6"/>
  <c r="AT3" i="6"/>
  <c r="O6" i="1"/>
  <c r="O7" i="1"/>
  <c r="O8" i="1"/>
  <c r="O9" i="1"/>
  <c r="O5" i="1"/>
  <c r="AU33" i="6"/>
  <c r="AU22" i="6"/>
  <c r="AU23" i="6"/>
  <c r="AU21" i="6"/>
  <c r="AU20" i="6"/>
  <c r="AU13" i="6"/>
  <c r="U12" i="6"/>
  <c r="AU12" i="6"/>
  <c r="AU11" i="6"/>
  <c r="AU10" i="6"/>
  <c r="AU9" i="6"/>
  <c r="FM15" i="1"/>
  <c r="FM16" i="1"/>
  <c r="FM17" i="1"/>
  <c r="FM18" i="1"/>
  <c r="FM22" i="1"/>
  <c r="FM26" i="1"/>
  <c r="FM30" i="1"/>
  <c r="FM34" i="1"/>
  <c r="FM38" i="1"/>
  <c r="FI15" i="1"/>
  <c r="FJ15" i="1"/>
  <c r="FK15" i="1"/>
  <c r="FL15" i="1"/>
  <c r="FI16" i="1"/>
  <c r="FJ16" i="1"/>
  <c r="FK16" i="1"/>
  <c r="FL16" i="1"/>
  <c r="FI17" i="1"/>
  <c r="FJ17" i="1"/>
  <c r="FK17" i="1"/>
  <c r="FL17" i="1"/>
  <c r="FI18" i="1"/>
  <c r="FJ18" i="1"/>
  <c r="FK18" i="1"/>
  <c r="FL18" i="1"/>
  <c r="FI22" i="1"/>
  <c r="FJ22" i="1"/>
  <c r="FK22" i="1"/>
  <c r="FL22" i="1"/>
  <c r="FI26" i="1"/>
  <c r="FJ26" i="1"/>
  <c r="FK26" i="1"/>
  <c r="FL26" i="1"/>
  <c r="FI30" i="1"/>
  <c r="FJ30" i="1"/>
  <c r="FK30" i="1"/>
  <c r="FL30" i="1"/>
  <c r="FI34" i="1"/>
  <c r="FJ34" i="1"/>
  <c r="FK34" i="1"/>
  <c r="FL34" i="1"/>
  <c r="FI38" i="1"/>
  <c r="FJ38" i="1"/>
  <c r="FK38" i="1"/>
  <c r="FL38" i="1"/>
  <c r="FF15" i="1"/>
  <c r="FG15" i="1"/>
  <c r="FH15" i="1"/>
  <c r="FF16" i="1"/>
  <c r="FG16" i="1"/>
  <c r="FH16" i="1"/>
  <c r="FF17" i="1"/>
  <c r="FG17" i="1"/>
  <c r="FH17" i="1"/>
  <c r="FF18" i="1"/>
  <c r="FG18" i="1"/>
  <c r="FH18" i="1"/>
  <c r="FF22" i="1"/>
  <c r="FG22" i="1"/>
  <c r="FH22" i="1"/>
  <c r="FF26" i="1"/>
  <c r="FG26" i="1"/>
  <c r="FH26" i="1"/>
  <c r="FF30" i="1"/>
  <c r="FG30" i="1"/>
  <c r="FH30" i="1"/>
  <c r="FF34" i="1"/>
  <c r="FG34" i="1"/>
  <c r="FH34" i="1"/>
  <c r="FF38" i="1"/>
  <c r="FG38" i="1"/>
  <c r="FH38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EI16" i="1"/>
  <c r="EJ16" i="1"/>
  <c r="EK16" i="1"/>
  <c r="EL16" i="1"/>
  <c r="EM16" i="1"/>
  <c r="EN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EI17" i="1"/>
  <c r="EJ17" i="1"/>
  <c r="EL17" i="1"/>
  <c r="EM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EC16" i="1"/>
  <c r="EC17" i="1"/>
  <c r="E5" i="8"/>
  <c r="E22" i="8"/>
  <c r="E17" i="8"/>
  <c r="E14" i="8"/>
  <c r="E8" i="8"/>
  <c r="E4" i="8"/>
  <c r="E7" i="8"/>
  <c r="G36" i="8"/>
  <c r="H36" i="8"/>
  <c r="I36" i="8"/>
  <c r="J36" i="8"/>
  <c r="K36" i="8"/>
  <c r="L36" i="8"/>
  <c r="M36" i="8"/>
  <c r="N36" i="8"/>
  <c r="O36" i="8"/>
  <c r="P36" i="8"/>
  <c r="Q36" i="8"/>
  <c r="R36" i="8"/>
  <c r="G37" i="8"/>
  <c r="H37" i="8"/>
  <c r="I37" i="8"/>
  <c r="J37" i="8"/>
  <c r="K37" i="8"/>
  <c r="L37" i="8"/>
  <c r="M37" i="8"/>
  <c r="N37" i="8"/>
  <c r="O37" i="8"/>
  <c r="P37" i="8"/>
  <c r="Q37" i="8"/>
  <c r="R37" i="8"/>
  <c r="G38" i="8"/>
  <c r="H38" i="8"/>
  <c r="I38" i="8"/>
  <c r="J38" i="8"/>
  <c r="K38" i="8"/>
  <c r="L38" i="8"/>
  <c r="M38" i="8"/>
  <c r="N38" i="8"/>
  <c r="O38" i="8"/>
  <c r="P38" i="8"/>
  <c r="Q38" i="8"/>
  <c r="R38" i="8"/>
  <c r="G39" i="8"/>
  <c r="H39" i="8"/>
  <c r="I39" i="8"/>
  <c r="J39" i="8"/>
  <c r="K39" i="8"/>
  <c r="L39" i="8"/>
  <c r="M39" i="8"/>
  <c r="N39" i="8"/>
  <c r="O39" i="8"/>
  <c r="P39" i="8"/>
  <c r="Q39" i="8"/>
  <c r="R39" i="8"/>
  <c r="G40" i="8"/>
  <c r="H40" i="8"/>
  <c r="I40" i="8"/>
  <c r="J40" i="8"/>
  <c r="K40" i="8"/>
  <c r="L40" i="8"/>
  <c r="M40" i="8"/>
  <c r="N40" i="8"/>
  <c r="O40" i="8"/>
  <c r="P40" i="8"/>
  <c r="Q40" i="8"/>
  <c r="R40" i="8"/>
  <c r="H35" i="8"/>
  <c r="I35" i="8"/>
  <c r="J35" i="8"/>
  <c r="K35" i="8"/>
  <c r="L35" i="8"/>
  <c r="M35" i="8"/>
  <c r="N35" i="8"/>
  <c r="O35" i="8"/>
  <c r="P35" i="8"/>
  <c r="Q35" i="8"/>
  <c r="R35" i="8"/>
  <c r="G35" i="8"/>
  <c r="I53" i="1"/>
  <c r="G53" i="1"/>
  <c r="E53" i="1"/>
  <c r="D53" i="1"/>
  <c r="N7" i="6"/>
  <c r="AV20" i="6"/>
  <c r="AV25" i="6"/>
  <c r="AV30" i="6"/>
  <c r="AV31" i="6"/>
  <c r="AV35" i="6"/>
  <c r="AV33" i="6"/>
  <c r="AV38" i="6"/>
  <c r="AV37" i="6"/>
  <c r="AV28" i="6"/>
  <c r="AV22" i="6"/>
  <c r="AV17" i="6"/>
  <c r="AV18" i="6"/>
  <c r="AV16" i="6"/>
  <c r="AV13" i="6"/>
  <c r="AV12" i="6"/>
  <c r="AV11" i="6"/>
  <c r="AV10" i="6"/>
  <c r="AV9" i="6"/>
  <c r="N19" i="6"/>
  <c r="N24" i="6"/>
  <c r="N29" i="6"/>
  <c r="N34" i="6"/>
  <c r="N39" i="6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D16" i="1"/>
  <c r="EE16" i="1"/>
  <c r="EF16" i="1"/>
  <c r="EG16" i="1"/>
  <c r="EH16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D17" i="1"/>
  <c r="EE17" i="1"/>
  <c r="EF17" i="1"/>
  <c r="EG17" i="1"/>
  <c r="EH17" i="1"/>
  <c r="EH38" i="1"/>
  <c r="EH34" i="1"/>
  <c r="EH30" i="1"/>
  <c r="EH26" i="1"/>
  <c r="EH22" i="1"/>
  <c r="EH18" i="1"/>
  <c r="EH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DF38" i="1"/>
  <c r="DF34" i="1"/>
  <c r="DF30" i="1"/>
  <c r="DF26" i="1"/>
  <c r="DF22" i="1"/>
  <c r="DF18" i="1"/>
  <c r="DF14" i="1"/>
  <c r="DE38" i="1"/>
  <c r="DE34" i="1"/>
  <c r="DE30" i="1"/>
  <c r="DE26" i="1"/>
  <c r="DE22" i="1"/>
  <c r="DE18" i="1"/>
  <c r="DE17" i="1"/>
  <c r="DE16" i="1"/>
  <c r="DE15" i="1"/>
  <c r="DE14" i="1"/>
  <c r="D2" i="7"/>
  <c r="J9" i="1"/>
  <c r="N4" i="6"/>
  <c r="Q3" i="3"/>
  <c r="N3" i="6"/>
  <c r="K7" i="6"/>
  <c r="K6" i="6"/>
  <c r="K5" i="6"/>
  <c r="K4" i="6"/>
  <c r="K3" i="6"/>
  <c r="H7" i="6"/>
  <c r="H5" i="6"/>
  <c r="H4" i="6"/>
  <c r="H3" i="6"/>
  <c r="H8" i="6"/>
  <c r="AS20" i="6"/>
  <c r="O38" i="6"/>
  <c r="O37" i="6"/>
  <c r="O36" i="6"/>
  <c r="O35" i="6"/>
  <c r="O33" i="6"/>
  <c r="O32" i="6"/>
  <c r="O31" i="6"/>
  <c r="O30" i="6"/>
  <c r="O28" i="6"/>
  <c r="O27" i="6"/>
  <c r="O26" i="6"/>
  <c r="O25" i="6"/>
  <c r="O21" i="6"/>
  <c r="O20" i="6"/>
  <c r="O18" i="6"/>
  <c r="O17" i="6"/>
  <c r="O16" i="6"/>
  <c r="L38" i="6"/>
  <c r="L37" i="6"/>
  <c r="L36" i="6"/>
  <c r="L35" i="6"/>
  <c r="L33" i="6"/>
  <c r="L32" i="6"/>
  <c r="L31" i="6"/>
  <c r="L30" i="6"/>
  <c r="L28" i="6"/>
  <c r="L27" i="6"/>
  <c r="L26" i="6"/>
  <c r="L25" i="6"/>
  <c r="L23" i="6"/>
  <c r="L22" i="6"/>
  <c r="L21" i="6"/>
  <c r="L20" i="6"/>
  <c r="L18" i="6"/>
  <c r="L17" i="6"/>
  <c r="L16" i="6"/>
  <c r="L15" i="6"/>
  <c r="Q4" i="3"/>
  <c r="Q5" i="3"/>
  <c r="Q6" i="3"/>
  <c r="Q7" i="3"/>
  <c r="Q8" i="3"/>
  <c r="Q9" i="3"/>
  <c r="D9" i="3"/>
  <c r="E9" i="3"/>
  <c r="F9" i="3"/>
  <c r="G9" i="3"/>
  <c r="H9" i="3"/>
  <c r="I9" i="3"/>
  <c r="J9" i="3"/>
  <c r="K9" i="3"/>
  <c r="L9" i="3"/>
  <c r="M9" i="3"/>
  <c r="N9" i="3"/>
  <c r="O9" i="3"/>
  <c r="P9" i="3"/>
  <c r="C9" i="3"/>
  <c r="I38" i="6"/>
  <c r="I37" i="6"/>
  <c r="I36" i="6"/>
  <c r="I35" i="6"/>
  <c r="I33" i="6"/>
  <c r="I32" i="6"/>
  <c r="I31" i="6"/>
  <c r="I30" i="6"/>
  <c r="I28" i="6"/>
  <c r="I27" i="6"/>
  <c r="I26" i="6"/>
  <c r="I25" i="6"/>
  <c r="I23" i="6"/>
  <c r="I22" i="6"/>
  <c r="I21" i="6"/>
  <c r="I20" i="6"/>
  <c r="I18" i="6"/>
  <c r="I17" i="6"/>
  <c r="I16" i="6"/>
  <c r="I15" i="6"/>
  <c r="AN39" i="6"/>
  <c r="AK39" i="6"/>
  <c r="AI39" i="6"/>
  <c r="AH39" i="6"/>
  <c r="AZ39" i="6" s="1"/>
  <c r="AF39" i="6"/>
  <c r="AE39" i="6"/>
  <c r="AB39" i="6"/>
  <c r="Y39" i="6"/>
  <c r="V39" i="6"/>
  <c r="T39" i="6"/>
  <c r="AU39" i="6"/>
  <c r="S39" i="6"/>
  <c r="AT39" i="6"/>
  <c r="M39" i="6"/>
  <c r="K39" i="6"/>
  <c r="J39" i="6"/>
  <c r="H39" i="6"/>
  <c r="G39" i="6"/>
  <c r="AN34" i="6"/>
  <c r="AL34" i="6"/>
  <c r="AK34" i="6"/>
  <c r="AI34" i="6"/>
  <c r="AH34" i="6"/>
  <c r="AZ34" i="6"/>
  <c r="AF34" i="6"/>
  <c r="AE34" i="6"/>
  <c r="AB34" i="6"/>
  <c r="AX34" i="6"/>
  <c r="Y34" i="6"/>
  <c r="AW34" i="6"/>
  <c r="V34" i="6"/>
  <c r="T34" i="6"/>
  <c r="AU34" i="6"/>
  <c r="S34" i="6"/>
  <c r="AT34" i="6"/>
  <c r="M34" i="6"/>
  <c r="K34" i="6"/>
  <c r="J34" i="6"/>
  <c r="H34" i="6"/>
  <c r="G34" i="6"/>
  <c r="AN29" i="6"/>
  <c r="AK29" i="6"/>
  <c r="AH29" i="6"/>
  <c r="AZ29" i="6"/>
  <c r="AF29" i="6"/>
  <c r="AE29" i="6"/>
  <c r="AB29" i="6"/>
  <c r="Y29" i="6"/>
  <c r="AW29" i="6"/>
  <c r="V29" i="6"/>
  <c r="T29" i="6"/>
  <c r="AU29" i="6"/>
  <c r="S29" i="6"/>
  <c r="AT29" i="6"/>
  <c r="M29" i="6"/>
  <c r="K29" i="6"/>
  <c r="J29" i="6"/>
  <c r="H29" i="6"/>
  <c r="G29" i="6"/>
  <c r="AN24" i="6"/>
  <c r="AL24" i="6"/>
  <c r="AK24" i="6"/>
  <c r="AI24" i="6"/>
  <c r="AH24" i="6"/>
  <c r="AZ24" i="6"/>
  <c r="AF24" i="6"/>
  <c r="AE24" i="6"/>
  <c r="AB24" i="6"/>
  <c r="Y24" i="6"/>
  <c r="AW24" i="6"/>
  <c r="V24" i="6"/>
  <c r="T24" i="6"/>
  <c r="AU24" i="6"/>
  <c r="S24" i="6"/>
  <c r="AT24" i="6"/>
  <c r="M24" i="6"/>
  <c r="K24" i="6"/>
  <c r="J24" i="6"/>
  <c r="H24" i="6"/>
  <c r="G24" i="6"/>
  <c r="I24" i="6"/>
  <c r="G19" i="6"/>
  <c r="H19" i="6"/>
  <c r="I19" i="6"/>
  <c r="J19" i="6"/>
  <c r="K19" i="6"/>
  <c r="M19" i="6"/>
  <c r="O19" i="6"/>
  <c r="R19" i="6"/>
  <c r="S19" i="6"/>
  <c r="U19" i="6"/>
  <c r="V19" i="6"/>
  <c r="X19" i="6"/>
  <c r="Y19" i="6"/>
  <c r="AA19" i="6"/>
  <c r="AB19" i="6"/>
  <c r="AD19" i="6" s="1"/>
  <c r="AE19" i="6"/>
  <c r="AF19" i="6"/>
  <c r="AG19" i="6"/>
  <c r="AH19" i="6"/>
  <c r="AI19" i="6"/>
  <c r="AJ19" i="6"/>
  <c r="AK19" i="6"/>
  <c r="AL19" i="6"/>
  <c r="AM19" i="6"/>
  <c r="AN19" i="6"/>
  <c r="AO19" i="6"/>
  <c r="AP19" i="6"/>
  <c r="AZ14" i="6"/>
  <c r="AW14" i="6"/>
  <c r="AU14" i="6"/>
  <c r="AT14" i="6"/>
  <c r="H14" i="6"/>
  <c r="K8" i="6"/>
  <c r="P8" i="6"/>
  <c r="V8" i="6"/>
  <c r="AT8" i="6" s="1"/>
  <c r="Y8" i="6"/>
  <c r="AH8" i="6"/>
  <c r="AK8" i="6"/>
  <c r="AN8" i="6"/>
  <c r="F35" i="6"/>
  <c r="F32" i="6"/>
  <c r="F31" i="6"/>
  <c r="D18" i="8"/>
  <c r="F18" i="8"/>
  <c r="F11" i="8"/>
  <c r="D12" i="8"/>
  <c r="F12" i="8"/>
  <c r="D16" i="8"/>
  <c r="F16" i="8"/>
  <c r="D15" i="8"/>
  <c r="D19" i="8"/>
  <c r="F19" i="8"/>
  <c r="D20" i="8"/>
  <c r="F20" i="8"/>
  <c r="D21" i="8"/>
  <c r="F21" i="8"/>
  <c r="D24" i="8"/>
  <c r="F24" i="8"/>
  <c r="D23" i="8"/>
  <c r="F23" i="8"/>
  <c r="D10" i="8"/>
  <c r="D26" i="7"/>
  <c r="D25" i="7"/>
  <c r="D23" i="7"/>
  <c r="D21" i="7"/>
  <c r="D20" i="7"/>
  <c r="D13" i="7"/>
  <c r="D9" i="7"/>
  <c r="D5" i="7"/>
  <c r="U21" i="6"/>
  <c r="X21" i="6"/>
  <c r="AD21" i="6"/>
  <c r="AG21" i="6"/>
  <c r="AJ21" i="6"/>
  <c r="AM21" i="6"/>
  <c r="AQ21" i="6"/>
  <c r="AP37" i="6"/>
  <c r="AP35" i="6"/>
  <c r="AP32" i="6"/>
  <c r="AP31" i="6"/>
  <c r="AP30" i="6"/>
  <c r="AP27" i="6"/>
  <c r="AP26" i="6"/>
  <c r="AP25" i="6"/>
  <c r="AP23" i="6"/>
  <c r="AP22" i="6"/>
  <c r="AP20" i="6"/>
  <c r="AP18" i="6"/>
  <c r="AP17" i="6"/>
  <c r="AP16" i="6"/>
  <c r="AP15" i="6"/>
  <c r="AP12" i="6"/>
  <c r="AP11" i="6"/>
  <c r="AP10" i="6"/>
  <c r="AP9" i="6"/>
  <c r="AP6" i="6"/>
  <c r="AM38" i="6"/>
  <c r="AM35" i="6"/>
  <c r="AM33" i="6"/>
  <c r="AM32" i="6"/>
  <c r="AM31" i="6"/>
  <c r="AM30" i="6"/>
  <c r="AM28" i="6"/>
  <c r="AM27" i="6"/>
  <c r="AM25" i="6"/>
  <c r="AM23" i="6"/>
  <c r="AM22" i="6"/>
  <c r="AM20" i="6"/>
  <c r="AM18" i="6"/>
  <c r="AM17" i="6"/>
  <c r="AM16" i="6"/>
  <c r="AM15" i="6"/>
  <c r="AM13" i="6"/>
  <c r="AM12" i="6"/>
  <c r="AM11" i="6"/>
  <c r="AM10" i="6"/>
  <c r="AM9" i="6"/>
  <c r="AL7" i="6"/>
  <c r="AM7" i="6"/>
  <c r="AL4" i="6"/>
  <c r="AM4" i="6"/>
  <c r="AL3" i="6"/>
  <c r="AJ38" i="6"/>
  <c r="AJ37" i="6"/>
  <c r="AJ36" i="6"/>
  <c r="AJ35" i="6"/>
  <c r="AJ33" i="6"/>
  <c r="AJ32" i="6"/>
  <c r="AJ31" i="6"/>
  <c r="AJ30" i="6"/>
  <c r="AJ28" i="6"/>
  <c r="AJ27" i="6"/>
  <c r="AJ25" i="6"/>
  <c r="AJ23" i="6"/>
  <c r="AJ22" i="6"/>
  <c r="AJ20" i="6"/>
  <c r="AJ18" i="6"/>
  <c r="AJ17" i="6"/>
  <c r="AJ16" i="6"/>
  <c r="AJ15" i="6"/>
  <c r="AJ13" i="6"/>
  <c r="AJ12" i="6"/>
  <c r="AJ11" i="6"/>
  <c r="AJ10" i="6"/>
  <c r="AJ9" i="6"/>
  <c r="AG38" i="6"/>
  <c r="AG37" i="6"/>
  <c r="AG36" i="6"/>
  <c r="AG35" i="6"/>
  <c r="AG33" i="6"/>
  <c r="AG32" i="6"/>
  <c r="AG31" i="6"/>
  <c r="AG30" i="6"/>
  <c r="AG28" i="6"/>
  <c r="AG27" i="6"/>
  <c r="AG26" i="6"/>
  <c r="AG25" i="6"/>
  <c r="AG23" i="6"/>
  <c r="AG22" i="6"/>
  <c r="AG20" i="6"/>
  <c r="AG18" i="6"/>
  <c r="AG17" i="6"/>
  <c r="AG16" i="6"/>
  <c r="AG15" i="6"/>
  <c r="AG13" i="6"/>
  <c r="AG12" i="6"/>
  <c r="AG11" i="6"/>
  <c r="AG10" i="6"/>
  <c r="AG9" i="6"/>
  <c r="AG4" i="6"/>
  <c r="AD38" i="6"/>
  <c r="AD37" i="6"/>
  <c r="AD36" i="6"/>
  <c r="AD35" i="6"/>
  <c r="AD33" i="6"/>
  <c r="AD32" i="6"/>
  <c r="AD31" i="6"/>
  <c r="AD30" i="6"/>
  <c r="AD28" i="6"/>
  <c r="AD27" i="6"/>
  <c r="AD26" i="6"/>
  <c r="AD25" i="6"/>
  <c r="AD23" i="6"/>
  <c r="AD22" i="6"/>
  <c r="AD20" i="6"/>
  <c r="AD18" i="6"/>
  <c r="AD17" i="6"/>
  <c r="AD16" i="6"/>
  <c r="AD15" i="6"/>
  <c r="AD13" i="6"/>
  <c r="AD12" i="6"/>
  <c r="AD10" i="6"/>
  <c r="AD9" i="6"/>
  <c r="AC7" i="6"/>
  <c r="AD7" i="6"/>
  <c r="AC6" i="6"/>
  <c r="AD6" i="6"/>
  <c r="AD4" i="6"/>
  <c r="AC3" i="6"/>
  <c r="AA38" i="6"/>
  <c r="AA37" i="6"/>
  <c r="AA36" i="6"/>
  <c r="AA35" i="6"/>
  <c r="AA33" i="6"/>
  <c r="AA32" i="6"/>
  <c r="AA31" i="6"/>
  <c r="AA30" i="6"/>
  <c r="AA18" i="6"/>
  <c r="AA17" i="6"/>
  <c r="AA16" i="6"/>
  <c r="AA15" i="6"/>
  <c r="AA13" i="6"/>
  <c r="AA12" i="6"/>
  <c r="AA11" i="6"/>
  <c r="AA10" i="6"/>
  <c r="AA9" i="6"/>
  <c r="Z3" i="6"/>
  <c r="X38" i="6"/>
  <c r="X37" i="6"/>
  <c r="X36" i="6"/>
  <c r="X35" i="6"/>
  <c r="X33" i="6"/>
  <c r="X32" i="6"/>
  <c r="X31" i="6"/>
  <c r="X30" i="6"/>
  <c r="X28" i="6"/>
  <c r="X27" i="6"/>
  <c r="X26" i="6"/>
  <c r="X25" i="6"/>
  <c r="X23" i="6"/>
  <c r="X22" i="6"/>
  <c r="X20" i="6"/>
  <c r="X18" i="6"/>
  <c r="X17" i="6"/>
  <c r="X16" i="6"/>
  <c r="X15" i="6"/>
  <c r="X13" i="6"/>
  <c r="X12" i="6"/>
  <c r="X11" i="6"/>
  <c r="X10" i="6"/>
  <c r="X9" i="6"/>
  <c r="X6" i="6"/>
  <c r="W3" i="6"/>
  <c r="X3" i="6"/>
  <c r="U38" i="6"/>
  <c r="U37" i="6"/>
  <c r="U36" i="6"/>
  <c r="U35" i="6"/>
  <c r="U33" i="6"/>
  <c r="U32" i="6"/>
  <c r="U31" i="6"/>
  <c r="U30" i="6"/>
  <c r="U28" i="6"/>
  <c r="U27" i="6"/>
  <c r="U26" i="6"/>
  <c r="U25" i="6"/>
  <c r="U23" i="6"/>
  <c r="U22" i="6"/>
  <c r="U20" i="6"/>
  <c r="U18" i="6"/>
  <c r="U17" i="6"/>
  <c r="U16" i="6"/>
  <c r="U15" i="6"/>
  <c r="U13" i="6"/>
  <c r="U11" i="6"/>
  <c r="U10" i="6"/>
  <c r="U9" i="6"/>
  <c r="T7" i="6"/>
  <c r="U7" i="6"/>
  <c r="T6" i="6"/>
  <c r="U6" i="6"/>
  <c r="T5" i="6"/>
  <c r="T4" i="6"/>
  <c r="U4" i="6"/>
  <c r="T3" i="6"/>
  <c r="AX3" i="6" s="1"/>
  <c r="R38" i="6"/>
  <c r="R37" i="6"/>
  <c r="R36" i="6"/>
  <c r="R35" i="6"/>
  <c r="R33" i="6"/>
  <c r="R32" i="6"/>
  <c r="R31" i="6"/>
  <c r="R30" i="6"/>
  <c r="R28" i="6"/>
  <c r="R26" i="6"/>
  <c r="R25" i="6"/>
  <c r="R22" i="6"/>
  <c r="R20" i="6"/>
  <c r="R18" i="6"/>
  <c r="R17" i="6"/>
  <c r="R16" i="6"/>
  <c r="R15" i="6"/>
  <c r="R13" i="6"/>
  <c r="R11" i="6"/>
  <c r="R10" i="6"/>
  <c r="R9" i="6"/>
  <c r="Q4" i="6"/>
  <c r="R4" i="6"/>
  <c r="Q3" i="6"/>
  <c r="AU3" i="6"/>
  <c r="AQ15" i="6"/>
  <c r="AQ16" i="6"/>
  <c r="AQ17" i="6"/>
  <c r="AQ18" i="6"/>
  <c r="AQ22" i="6"/>
  <c r="AQ23" i="6"/>
  <c r="AQ25" i="6"/>
  <c r="AQ26" i="6"/>
  <c r="AQ27" i="6"/>
  <c r="AQ28" i="6"/>
  <c r="AQ30" i="6"/>
  <c r="AQ31" i="6"/>
  <c r="AQ32" i="6"/>
  <c r="AQ33" i="6"/>
  <c r="AQ35" i="6"/>
  <c r="AQ36" i="6"/>
  <c r="AQ37" i="6"/>
  <c r="AQ38" i="6"/>
  <c r="AR12" i="6"/>
  <c r="AR13" i="6"/>
  <c r="AS16" i="6"/>
  <c r="AS17" i="6"/>
  <c r="AS18" i="6"/>
  <c r="AR21" i="6"/>
  <c r="AS21" i="6"/>
  <c r="AR25" i="6"/>
  <c r="AS25" i="6"/>
  <c r="AR26" i="6"/>
  <c r="AS26" i="6"/>
  <c r="AR27" i="6"/>
  <c r="AS27" i="6"/>
  <c r="AR28" i="6"/>
  <c r="AS28" i="6"/>
  <c r="AR30" i="6"/>
  <c r="AS30" i="6"/>
  <c r="AR31" i="6"/>
  <c r="AS31" i="6"/>
  <c r="AR32" i="6"/>
  <c r="AS32" i="6"/>
  <c r="AR33" i="6"/>
  <c r="AS33" i="6"/>
  <c r="AR35" i="6"/>
  <c r="AS35" i="6"/>
  <c r="AR36" i="6"/>
  <c r="AS36" i="6"/>
  <c r="AR37" i="6"/>
  <c r="AS37" i="6"/>
  <c r="AR38" i="6"/>
  <c r="AS38" i="6"/>
  <c r="AR9" i="6"/>
  <c r="AR10" i="6"/>
  <c r="AR11" i="6"/>
  <c r="CQ17" i="1"/>
  <c r="E2" i="8"/>
  <c r="D4" i="8"/>
  <c r="F10" i="8"/>
  <c r="F4" i="8"/>
  <c r="AV15" i="6"/>
  <c r="AV26" i="6"/>
  <c r="AV32" i="6"/>
  <c r="AV34" i="6"/>
  <c r="AV36" i="6"/>
  <c r="AV39" i="6"/>
  <c r="N5" i="6"/>
  <c r="D14" i="7"/>
  <c r="AS15" i="6"/>
  <c r="L19" i="6"/>
  <c r="L24" i="6"/>
  <c r="L29" i="6"/>
  <c r="O29" i="6"/>
  <c r="L34" i="6"/>
  <c r="O34" i="6"/>
  <c r="L39" i="6"/>
  <c r="O39" i="6"/>
  <c r="AR3" i="6"/>
  <c r="AR39" i="6"/>
  <c r="AR34" i="6"/>
  <c r="AQ34" i="6"/>
  <c r="AQ19" i="6"/>
  <c r="F30" i="6"/>
  <c r="I34" i="6"/>
  <c r="I39" i="6"/>
  <c r="AQ39" i="6"/>
  <c r="AR29" i="6"/>
  <c r="AQ29" i="6"/>
  <c r="AR4" i="6"/>
  <c r="I29" i="6"/>
  <c r="U5" i="6"/>
  <c r="T8" i="6"/>
  <c r="U8" i="6"/>
  <c r="AD5" i="6"/>
  <c r="AC8" i="6"/>
  <c r="AG5" i="6"/>
  <c r="AQ24" i="6"/>
  <c r="AR19" i="6"/>
  <c r="AS19" i="6"/>
  <c r="R39" i="6"/>
  <c r="U39" i="6"/>
  <c r="X39" i="6"/>
  <c r="AA39" i="6"/>
  <c r="AD39" i="6"/>
  <c r="AG39" i="6"/>
  <c r="AJ39" i="6"/>
  <c r="R34" i="6"/>
  <c r="U34" i="6"/>
  <c r="X34" i="6"/>
  <c r="AA34" i="6"/>
  <c r="AD34" i="6"/>
  <c r="AG34" i="6"/>
  <c r="AJ34" i="6"/>
  <c r="AM34" i="6"/>
  <c r="U29" i="6"/>
  <c r="X29" i="6"/>
  <c r="AG29" i="6"/>
  <c r="U24" i="6"/>
  <c r="X24" i="6"/>
  <c r="AD24" i="6"/>
  <c r="AG24" i="6"/>
  <c r="AJ24" i="6"/>
  <c r="AM24" i="6"/>
  <c r="AR14" i="6"/>
  <c r="F68" i="1"/>
  <c r="J68" i="1"/>
  <c r="D6" i="8"/>
  <c r="F6" i="8"/>
  <c r="D5" i="8"/>
  <c r="F5" i="8"/>
  <c r="D17" i="8"/>
  <c r="F17" i="8"/>
  <c r="AP3" i="6"/>
  <c r="AM3" i="6"/>
  <c r="AD3" i="6"/>
  <c r="AA3" i="6"/>
  <c r="U3" i="6"/>
  <c r="R3" i="6"/>
  <c r="AR5" i="6"/>
  <c r="O23" i="6"/>
  <c r="AR23" i="6"/>
  <c r="AS23" i="6"/>
  <c r="N6" i="6"/>
  <c r="O22" i="6"/>
  <c r="O24" i="6"/>
  <c r="AR22" i="6"/>
  <c r="AS29" i="6"/>
  <c r="AS34" i="6"/>
  <c r="AS39" i="6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CA17" i="1"/>
  <c r="CB17" i="1"/>
  <c r="CC17" i="1"/>
  <c r="CD17" i="1"/>
  <c r="CD14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R17" i="1"/>
  <c r="CS17" i="1"/>
  <c r="CS14" i="1"/>
  <c r="CT17" i="1"/>
  <c r="CT14" i="1"/>
  <c r="CU17" i="1"/>
  <c r="CV17" i="1"/>
  <c r="CW17" i="1"/>
  <c r="CX17" i="1"/>
  <c r="CY17" i="1"/>
  <c r="CZ17" i="1"/>
  <c r="DA17" i="1"/>
  <c r="DB17" i="1"/>
  <c r="DC17" i="1"/>
  <c r="DD17" i="1"/>
  <c r="BZ16" i="1"/>
  <c r="BZ17" i="1"/>
  <c r="BZ15" i="1"/>
  <c r="DD14" i="1"/>
  <c r="DC14" i="1"/>
  <c r="CV14" i="1"/>
  <c r="N8" i="6"/>
  <c r="AR7" i="6"/>
  <c r="L8" i="1"/>
  <c r="AS22" i="6"/>
  <c r="AR24" i="6"/>
  <c r="AS24" i="6"/>
  <c r="AR6" i="6"/>
  <c r="CQ14" i="1"/>
  <c r="CB14" i="1"/>
  <c r="DB14" i="1"/>
  <c r="DA14" i="1"/>
  <c r="CZ14" i="1"/>
  <c r="CY14" i="1"/>
  <c r="CX14" i="1"/>
  <c r="CW14" i="1"/>
  <c r="CP14" i="1"/>
  <c r="CO14" i="1"/>
  <c r="CN14" i="1"/>
  <c r="CM14" i="1"/>
  <c r="CL14" i="1"/>
  <c r="CJ14" i="1"/>
  <c r="CG14" i="1"/>
  <c r="CF14" i="1"/>
  <c r="CA14" i="1"/>
  <c r="CE14" i="1"/>
  <c r="CC14" i="1"/>
  <c r="CH14" i="1"/>
  <c r="CI14" i="1"/>
  <c r="CK14" i="1"/>
  <c r="CU14" i="1"/>
  <c r="CR14" i="1"/>
  <c r="BZ14" i="1"/>
  <c r="D4" i="7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CA18" i="1"/>
  <c r="CB18" i="1"/>
  <c r="CC18" i="1"/>
  <c r="CD18" i="1"/>
  <c r="CE18" i="1"/>
  <c r="CF18" i="1"/>
  <c r="CG18" i="1"/>
  <c r="CH18" i="1"/>
  <c r="CI18" i="1"/>
  <c r="BZ18" i="1"/>
  <c r="D25" i="1"/>
  <c r="D24" i="1"/>
  <c r="J8" i="1"/>
  <c r="D12" i="7"/>
  <c r="D6" i="7"/>
  <c r="D10" i="7"/>
  <c r="D8" i="7"/>
  <c r="D22" i="7"/>
  <c r="D65" i="1"/>
  <c r="D66" i="1"/>
  <c r="D13" i="1"/>
  <c r="I13" i="1"/>
  <c r="G13" i="1"/>
  <c r="F13" i="1"/>
  <c r="E13" i="1"/>
  <c r="J18" i="1"/>
  <c r="J27" i="1"/>
  <c r="J26" i="1"/>
  <c r="J15" i="1"/>
  <c r="J25" i="1"/>
  <c r="G14" i="6"/>
  <c r="I14" i="6"/>
  <c r="I9" i="6"/>
  <c r="I13" i="6"/>
  <c r="I12" i="6"/>
  <c r="I11" i="6"/>
  <c r="I10" i="6"/>
  <c r="G3" i="6"/>
  <c r="G4" i="6"/>
  <c r="I4" i="6"/>
  <c r="G5" i="6"/>
  <c r="I5" i="6"/>
  <c r="G6" i="6"/>
  <c r="I6" i="6"/>
  <c r="G7" i="6"/>
  <c r="I7" i="6"/>
  <c r="G8" i="6"/>
  <c r="I8" i="6"/>
  <c r="I3" i="6"/>
  <c r="L9" i="6"/>
  <c r="L10" i="6"/>
  <c r="L11" i="6"/>
  <c r="L12" i="6"/>
  <c r="L13" i="6"/>
  <c r="J3" i="6"/>
  <c r="J4" i="6"/>
  <c r="L4" i="6"/>
  <c r="J5" i="6"/>
  <c r="L5" i="6"/>
  <c r="J6" i="6"/>
  <c r="L6" i="6"/>
  <c r="J7" i="6"/>
  <c r="L7" i="6"/>
  <c r="J8" i="6"/>
  <c r="L8" i="6"/>
  <c r="L3" i="6"/>
  <c r="O13" i="6"/>
  <c r="O12" i="6"/>
  <c r="O11" i="6"/>
  <c r="O10" i="6"/>
  <c r="O9" i="6"/>
  <c r="AQ11" i="6"/>
  <c r="AS11" i="6"/>
  <c r="AQ10" i="6"/>
  <c r="AS10" i="6"/>
  <c r="AQ9" i="6"/>
  <c r="AS9" i="6"/>
  <c r="AQ13" i="6"/>
  <c r="AS13" i="6"/>
  <c r="AQ12" i="6"/>
  <c r="AS12" i="6"/>
  <c r="AQ14" i="6"/>
  <c r="AS14" i="6"/>
  <c r="M3" i="6"/>
  <c r="AV3" i="6"/>
  <c r="M4" i="6"/>
  <c r="M5" i="6"/>
  <c r="M6" i="6"/>
  <c r="M7" i="6"/>
  <c r="D3" i="6"/>
  <c r="D8" i="6"/>
  <c r="AV14" i="6"/>
  <c r="D14" i="6"/>
  <c r="O7" i="6"/>
  <c r="AQ7" i="6"/>
  <c r="O6" i="6"/>
  <c r="AQ6" i="6"/>
  <c r="AS6" i="6"/>
  <c r="O5" i="6"/>
  <c r="AQ5" i="6"/>
  <c r="O4" i="6"/>
  <c r="AQ4" i="6"/>
  <c r="AS4" i="6"/>
  <c r="O3" i="6"/>
  <c r="AQ3" i="6"/>
  <c r="AS3" i="6"/>
  <c r="M8" i="6"/>
  <c r="O8" i="6"/>
  <c r="AQ8" i="6"/>
  <c r="AS5" i="6"/>
  <c r="AS7" i="6"/>
  <c r="D13" i="8"/>
  <c r="F13" i="8"/>
  <c r="D7" i="8"/>
  <c r="F7" i="8"/>
  <c r="H28" i="1"/>
  <c r="H69" i="1"/>
  <c r="H70" i="1"/>
  <c r="AZ8" i="6"/>
  <c r="BA19" i="6"/>
  <c r="BI6" i="6" s="1"/>
  <c r="AZ19" i="6"/>
  <c r="AW19" i="6"/>
  <c r="AT19" i="6"/>
  <c r="AW39" i="6"/>
  <c r="BC39" i="6" s="1"/>
  <c r="AX39" i="6"/>
  <c r="AY9" i="6"/>
  <c r="BB9" i="6"/>
  <c r="AY10" i="6"/>
  <c r="BB10" i="6"/>
  <c r="BB11" i="6"/>
  <c r="BB12" i="6"/>
  <c r="AY13" i="6"/>
  <c r="AY15" i="6"/>
  <c r="BB15" i="6"/>
  <c r="AY16" i="6"/>
  <c r="BB16" i="6"/>
  <c r="AY17" i="6"/>
  <c r="BB17" i="6"/>
  <c r="AY18" i="6"/>
  <c r="BB18" i="6"/>
  <c r="BB19" i="6"/>
  <c r="BB20" i="6"/>
  <c r="BB22" i="6"/>
  <c r="BB23" i="6"/>
  <c r="BB25" i="6"/>
  <c r="BB27" i="6"/>
  <c r="AY34" i="6"/>
  <c r="AY30" i="6"/>
  <c r="BB30" i="6"/>
  <c r="AY31" i="6"/>
  <c r="BB31" i="6"/>
  <c r="AY32" i="6"/>
  <c r="BB32" i="6"/>
  <c r="AY33" i="6"/>
  <c r="AY39" i="6"/>
  <c r="AY35" i="6"/>
  <c r="BB35" i="6"/>
  <c r="AY36" i="6"/>
  <c r="AY37" i="6"/>
  <c r="AY38" i="6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R21" i="6"/>
  <c r="Q5" i="6"/>
  <c r="AV23" i="6"/>
  <c r="R23" i="6"/>
  <c r="AV19" i="6"/>
  <c r="D24" i="7"/>
  <c r="I4" i="1"/>
  <c r="M7" i="1" s="1"/>
  <c r="R24" i="6"/>
  <c r="R7" i="6"/>
  <c r="R5" i="6"/>
  <c r="AV21" i="6"/>
  <c r="AV24" i="6"/>
  <c r="L7" i="1"/>
  <c r="I29" i="1"/>
  <c r="I22" i="1"/>
  <c r="R29" i="6"/>
  <c r="R27" i="6"/>
  <c r="Q6" i="6"/>
  <c r="AU6" i="6"/>
  <c r="R6" i="6"/>
  <c r="AV6" i="6"/>
  <c r="AV27" i="6"/>
  <c r="AV29" i="6"/>
  <c r="Q8" i="6"/>
  <c r="O4" i="1"/>
  <c r="OI14" i="1" s="1"/>
  <c r="O10" i="1"/>
  <c r="R8" i="6"/>
  <c r="F66" i="1"/>
  <c r="FP14" i="1"/>
  <c r="FO14" i="1"/>
  <c r="FN14" i="1"/>
  <c r="D8" i="8"/>
  <c r="F8" i="8"/>
  <c r="H26" i="1"/>
  <c r="G26" i="1"/>
  <c r="I26" i="1"/>
  <c r="D26" i="1"/>
  <c r="E26" i="1"/>
  <c r="J6" i="1"/>
  <c r="F9" i="8"/>
  <c r="D3" i="8"/>
  <c r="F3" i="8"/>
  <c r="J48" i="1"/>
  <c r="J75" i="1" s="1"/>
  <c r="J24" i="1"/>
  <c r="J67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W7" i="6"/>
  <c r="W4" i="6"/>
  <c r="W5" i="6"/>
  <c r="X7" i="6"/>
  <c r="AU7" i="6"/>
  <c r="AV7" i="6"/>
  <c r="X5" i="6"/>
  <c r="AU5" i="6"/>
  <c r="AV5" i="6"/>
  <c r="X4" i="6"/>
  <c r="AU4" i="6"/>
  <c r="AV4" i="6"/>
  <c r="W8" i="6"/>
  <c r="AU8" i="6" s="1"/>
  <c r="X8" i="6"/>
  <c r="AV8" i="6"/>
  <c r="AA23" i="6"/>
  <c r="AA28" i="6"/>
  <c r="AA22" i="6"/>
  <c r="AA27" i="6"/>
  <c r="AA21" i="6"/>
  <c r="AA26" i="6"/>
  <c r="AA25" i="6"/>
  <c r="AX24" i="6"/>
  <c r="BD24" i="6" s="1"/>
  <c r="BF24" i="6" s="1"/>
  <c r="AY24" i="6"/>
  <c r="AA24" i="6"/>
  <c r="AX20" i="6"/>
  <c r="BD20" i="6" s="1"/>
  <c r="AY20" i="6"/>
  <c r="AA20" i="6"/>
  <c r="AX25" i="6"/>
  <c r="BD25" i="6" s="1"/>
  <c r="AY25" i="6"/>
  <c r="Z4" i="6"/>
  <c r="AY26" i="6"/>
  <c r="AX21" i="6"/>
  <c r="BD21" i="6" s="1"/>
  <c r="BF21" i="6" s="1"/>
  <c r="AY21" i="6"/>
  <c r="Z5" i="6"/>
  <c r="F27" i="6"/>
  <c r="AX27" i="6"/>
  <c r="BD27" i="6" s="1"/>
  <c r="AY27" i="6"/>
  <c r="AX22" i="6"/>
  <c r="BD22" i="6" s="1"/>
  <c r="AY22" i="6"/>
  <c r="Z6" i="6"/>
  <c r="AX28" i="6"/>
  <c r="BD28" i="6" s="1"/>
  <c r="AY28" i="6"/>
  <c r="AX23" i="6"/>
  <c r="BD23" i="6" s="1"/>
  <c r="BF23" i="6" s="1"/>
  <c r="AY23" i="6"/>
  <c r="Z7" i="6"/>
  <c r="AA7" i="6"/>
  <c r="F23" i="6"/>
  <c r="AA6" i="6"/>
  <c r="F22" i="6"/>
  <c r="AA5" i="6"/>
  <c r="Z8" i="6"/>
  <c r="AA4" i="6"/>
  <c r="F25" i="6"/>
  <c r="AA8" i="6"/>
  <c r="J53" i="1"/>
  <c r="IZ1" i="1"/>
  <c r="JA1" i="1"/>
  <c r="JA14" i="1"/>
  <c r="IZ14" i="1"/>
  <c r="HW1" i="1"/>
  <c r="HX1" i="1"/>
  <c r="HY1" i="1"/>
  <c r="HZ1" i="1"/>
  <c r="IA1" i="1"/>
  <c r="IB1" i="1"/>
  <c r="IC1" i="1"/>
  <c r="ID1" i="1"/>
  <c r="IE1" i="1"/>
  <c r="IF1" i="1"/>
  <c r="IG1" i="1"/>
  <c r="IH1" i="1"/>
  <c r="II1" i="1"/>
  <c r="IJ1" i="1"/>
  <c r="IK1" i="1"/>
  <c r="IL1" i="1"/>
  <c r="IM1" i="1"/>
  <c r="IN1" i="1"/>
  <c r="IO1" i="1"/>
  <c r="IP1" i="1"/>
  <c r="IQ1" i="1"/>
  <c r="IR1" i="1"/>
  <c r="IS1" i="1"/>
  <c r="IT1" i="1"/>
  <c r="IU1" i="1"/>
  <c r="IV1" i="1"/>
  <c r="IW1" i="1"/>
  <c r="IX1" i="1"/>
  <c r="IY1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GS1" i="1"/>
  <c r="GT1" i="1"/>
  <c r="GU1" i="1"/>
  <c r="GV1" i="1"/>
  <c r="GW1" i="1"/>
  <c r="GX1" i="1"/>
  <c r="GY1" i="1"/>
  <c r="GZ1" i="1"/>
  <c r="HA1" i="1"/>
  <c r="HB1" i="1"/>
  <c r="HC1" i="1"/>
  <c r="HD1" i="1"/>
  <c r="HE1" i="1"/>
  <c r="HF1" i="1"/>
  <c r="HG1" i="1"/>
  <c r="HH1" i="1"/>
  <c r="HI1" i="1"/>
  <c r="HJ1" i="1"/>
  <c r="HK1" i="1"/>
  <c r="HL1" i="1"/>
  <c r="HM1" i="1"/>
  <c r="HN1" i="1"/>
  <c r="HO1" i="1"/>
  <c r="HP1" i="1"/>
  <c r="HQ1" i="1"/>
  <c r="HR1" i="1"/>
  <c r="HS1" i="1"/>
  <c r="HT1" i="1"/>
  <c r="HU1" i="1"/>
  <c r="HV1" i="1"/>
  <c r="GR1" i="1"/>
  <c r="F24" i="1"/>
  <c r="F65" i="1"/>
  <c r="BS16" i="6" l="1"/>
  <c r="BW16" i="6"/>
  <c r="BW11" i="6"/>
  <c r="BS11" i="6"/>
  <c r="BW13" i="6"/>
  <c r="BS13" i="6"/>
  <c r="BS18" i="6"/>
  <c r="BW18" i="6"/>
  <c r="OR1" i="1"/>
  <c r="OS1" i="1"/>
  <c r="OT1" i="1"/>
  <c r="OU1" i="1"/>
  <c r="OV1" i="1"/>
  <c r="OW1" i="1"/>
  <c r="OX1" i="1"/>
  <c r="OY1" i="1"/>
  <c r="OZ1" i="1"/>
  <c r="PA1" i="1"/>
  <c r="PB1" i="1"/>
  <c r="PC1" i="1"/>
  <c r="PD1" i="1"/>
  <c r="PE1" i="1"/>
  <c r="PF1" i="1"/>
  <c r="PG1" i="1"/>
  <c r="PH1" i="1"/>
  <c r="PI1" i="1"/>
  <c r="PJ1" i="1"/>
  <c r="PK1" i="1"/>
  <c r="PL1" i="1"/>
  <c r="PM1" i="1"/>
  <c r="PN1" i="1"/>
  <c r="PO1" i="1"/>
  <c r="PP1" i="1"/>
  <c r="PQ1" i="1"/>
  <c r="PR1" i="1"/>
  <c r="PS1" i="1"/>
  <c r="PT1" i="1"/>
  <c r="H53" i="1"/>
  <c r="P38" i="1"/>
  <c r="P34" i="1"/>
  <c r="P30" i="1"/>
  <c r="OR14" i="1"/>
  <c r="OQ14" i="1"/>
  <c r="G65" i="1"/>
  <c r="CA45" i="6"/>
  <c r="BV21" i="6" s="1"/>
  <c r="OS14" i="1"/>
  <c r="OT14" i="1"/>
  <c r="OU14" i="1"/>
  <c r="OV14" i="1"/>
  <c r="OW14" i="1"/>
  <c r="OX14" i="1"/>
  <c r="OY14" i="1"/>
  <c r="OZ14" i="1"/>
  <c r="PA14" i="1"/>
  <c r="E20" i="6"/>
  <c r="F20" i="6" s="1"/>
  <c r="P22" i="1"/>
  <c r="OP14" i="1"/>
  <c r="P14" i="1" s="1"/>
  <c r="P18" i="1"/>
  <c r="Z29" i="6"/>
  <c r="AC29" i="6"/>
  <c r="AD29" i="6" s="1"/>
  <c r="BT3" i="6"/>
  <c r="BW3" i="6"/>
  <c r="BZ8" i="6"/>
  <c r="BZ3" i="6"/>
  <c r="CA8" i="6"/>
  <c r="DE8" i="6" s="1"/>
  <c r="DE3" i="6"/>
  <c r="DF3" i="6"/>
  <c r="DG3" i="6" s="1"/>
  <c r="CC3" i="6"/>
  <c r="DI3" i="6"/>
  <c r="CF3" i="6"/>
  <c r="CG8" i="6"/>
  <c r="DH3" i="6"/>
  <c r="CI8" i="6"/>
  <c r="DL3" i="6"/>
  <c r="CI3" i="6"/>
  <c r="CL8" i="6"/>
  <c r="CL3" i="6"/>
  <c r="CM8" i="6"/>
  <c r="DK8" i="6" s="1"/>
  <c r="DK3" i="6"/>
  <c r="DQ3" i="6" s="1"/>
  <c r="CO3" i="6"/>
  <c r="CR8" i="6"/>
  <c r="CR3" i="6"/>
  <c r="CU8" i="6"/>
  <c r="CU3" i="6"/>
  <c r="CV8" i="6"/>
  <c r="DN8" i="6" s="1"/>
  <c r="DN3" i="6"/>
  <c r="DO3" i="6"/>
  <c r="DP3" i="6" s="1"/>
  <c r="CX3" i="6"/>
  <c r="DA8" i="6"/>
  <c r="DA3" i="6"/>
  <c r="DD8" i="6"/>
  <c r="DD3" i="6"/>
  <c r="BZ4" i="6"/>
  <c r="DE4" i="6"/>
  <c r="CC4" i="6"/>
  <c r="DI4" i="6"/>
  <c r="DJ4" i="6" s="1"/>
  <c r="CF4" i="6"/>
  <c r="DL4" i="6"/>
  <c r="CI4" i="6"/>
  <c r="CL4" i="6"/>
  <c r="DQ4" i="6"/>
  <c r="CO4" i="6"/>
  <c r="CR4" i="6"/>
  <c r="CU4" i="6"/>
  <c r="DO4" i="6"/>
  <c r="DP4" i="6" s="1"/>
  <c r="CX4" i="6"/>
  <c r="DA4" i="6"/>
  <c r="DD4" i="6"/>
  <c r="BZ5" i="6"/>
  <c r="DE5" i="6"/>
  <c r="CC5" i="6"/>
  <c r="DI5" i="6"/>
  <c r="DJ5" i="6" s="1"/>
  <c r="CF5" i="6"/>
  <c r="DL5" i="6"/>
  <c r="CI5" i="6"/>
  <c r="CL5" i="6"/>
  <c r="DQ5" i="6"/>
  <c r="CO5" i="6"/>
  <c r="CR5" i="6"/>
  <c r="CU5" i="6"/>
  <c r="DO5" i="6"/>
  <c r="DP5" i="6" s="1"/>
  <c r="CX5" i="6"/>
  <c r="DA5" i="6"/>
  <c r="DD5" i="6"/>
  <c r="BT6" i="6"/>
  <c r="BW6" i="6"/>
  <c r="BZ6" i="6"/>
  <c r="DE6" i="6"/>
  <c r="DF6" i="6"/>
  <c r="DG6" i="6" s="1"/>
  <c r="CC6" i="6"/>
  <c r="DI6" i="6"/>
  <c r="DJ6" i="6" s="1"/>
  <c r="CF6" i="6"/>
  <c r="DL6" i="6"/>
  <c r="CI6" i="6"/>
  <c r="CL6" i="6"/>
  <c r="DQ6" i="6"/>
  <c r="CO6" i="6"/>
  <c r="CR6" i="6"/>
  <c r="CU6" i="6"/>
  <c r="DO6" i="6"/>
  <c r="DP6" i="6" s="1"/>
  <c r="CX6" i="6"/>
  <c r="DA6" i="6"/>
  <c r="DD6" i="6"/>
  <c r="BZ7" i="6"/>
  <c r="DE7" i="6"/>
  <c r="CC7" i="6"/>
  <c r="DI7" i="6"/>
  <c r="DJ7" i="6" s="1"/>
  <c r="CF7" i="6"/>
  <c r="DL7" i="6"/>
  <c r="CI7" i="6"/>
  <c r="CL7" i="6"/>
  <c r="DQ7" i="6"/>
  <c r="CO7" i="6"/>
  <c r="CR7" i="6"/>
  <c r="CU7" i="6"/>
  <c r="DO7" i="6"/>
  <c r="DP7" i="6" s="1"/>
  <c r="CX7" i="6"/>
  <c r="DA7" i="6"/>
  <c r="DD7" i="6"/>
  <c r="DH8" i="6"/>
  <c r="BT9" i="6"/>
  <c r="DD14" i="6"/>
  <c r="DO9" i="6"/>
  <c r="DP9" i="6" s="1"/>
  <c r="DD9" i="6"/>
  <c r="DG9" i="6"/>
  <c r="DJ9" i="6"/>
  <c r="DQ9" i="6"/>
  <c r="DR9" i="6"/>
  <c r="DM9" i="6"/>
  <c r="BZ14" i="6"/>
  <c r="BZ10" i="6"/>
  <c r="CC10" i="6"/>
  <c r="DI10" i="6"/>
  <c r="DJ10" i="6" s="1"/>
  <c r="CF10" i="6"/>
  <c r="CI14" i="6"/>
  <c r="CI10" i="6"/>
  <c r="CL14" i="6"/>
  <c r="CL10" i="6"/>
  <c r="DL10" i="6"/>
  <c r="CO10" i="6"/>
  <c r="CR14" i="6"/>
  <c r="CR10" i="6"/>
  <c r="CU14" i="6"/>
  <c r="CU10" i="6"/>
  <c r="DO10" i="6"/>
  <c r="DP10" i="6" s="1"/>
  <c r="CX10" i="6"/>
  <c r="DA14" i="6"/>
  <c r="DA10" i="6"/>
  <c r="DQ10" i="6"/>
  <c r="BT11" i="6"/>
  <c r="DF11" i="6"/>
  <c r="DG11" i="6" s="1"/>
  <c r="CC11" i="6"/>
  <c r="DI11" i="6"/>
  <c r="DJ11" i="6" s="1"/>
  <c r="CF11" i="6"/>
  <c r="DL11" i="6"/>
  <c r="CO11" i="6"/>
  <c r="CR26" i="6"/>
  <c r="CR11" i="6"/>
  <c r="DO11" i="6"/>
  <c r="DP11" i="6" s="1"/>
  <c r="CX11" i="6"/>
  <c r="DQ11" i="6"/>
  <c r="BT12" i="6"/>
  <c r="DF12" i="6"/>
  <c r="DG12" i="6" s="1"/>
  <c r="CC12" i="6"/>
  <c r="DJ12" i="6"/>
  <c r="CI12" i="6"/>
  <c r="DL12" i="6"/>
  <c r="CO12" i="6"/>
  <c r="DO12" i="6"/>
  <c r="DP12" i="6" s="1"/>
  <c r="CX12" i="6"/>
  <c r="DQ12" i="6"/>
  <c r="BT13" i="6"/>
  <c r="DF13" i="6"/>
  <c r="DG13" i="6" s="1"/>
  <c r="CC13" i="6"/>
  <c r="DI13" i="6"/>
  <c r="DJ13" i="6" s="1"/>
  <c r="CF13" i="6"/>
  <c r="DL13" i="6"/>
  <c r="CO13" i="6"/>
  <c r="DO13" i="6"/>
  <c r="DP13" i="6" s="1"/>
  <c r="CX13" i="6"/>
  <c r="DQ13" i="6"/>
  <c r="DE14" i="6"/>
  <c r="DQ14" i="6"/>
  <c r="BZ19" i="6"/>
  <c r="BZ15" i="6"/>
  <c r="CC19" i="6"/>
  <c r="CC15" i="6"/>
  <c r="CF19" i="6"/>
  <c r="DI15" i="6"/>
  <c r="CF15" i="6"/>
  <c r="CI19" i="6"/>
  <c r="CI15" i="6"/>
  <c r="CL19" i="6"/>
  <c r="CL15" i="6"/>
  <c r="CO19" i="6"/>
  <c r="DL15" i="6"/>
  <c r="CO15" i="6"/>
  <c r="CU19" i="6"/>
  <c r="CU15" i="6"/>
  <c r="DO15" i="6"/>
  <c r="DP15" i="6" s="1"/>
  <c r="CX15" i="6"/>
  <c r="DA19" i="6"/>
  <c r="DA15" i="6"/>
  <c r="DD19" i="6"/>
  <c r="DD15" i="6"/>
  <c r="DQ15" i="6"/>
  <c r="BT16" i="6"/>
  <c r="DF16" i="6"/>
  <c r="DG16" i="6" s="1"/>
  <c r="CC16" i="6"/>
  <c r="DI16" i="6"/>
  <c r="DJ16" i="6" s="1"/>
  <c r="CF16" i="6"/>
  <c r="DL16" i="6"/>
  <c r="CO16" i="6"/>
  <c r="DO16" i="6"/>
  <c r="DP16" i="6" s="1"/>
  <c r="CX16" i="6"/>
  <c r="DQ16" i="6"/>
  <c r="BT17" i="6"/>
  <c r="DF17" i="6"/>
  <c r="DG17" i="6" s="1"/>
  <c r="CC17" i="6"/>
  <c r="DI17" i="6"/>
  <c r="DJ17" i="6" s="1"/>
  <c r="CF17" i="6"/>
  <c r="DL17" i="6"/>
  <c r="CO17" i="6"/>
  <c r="DO17" i="6"/>
  <c r="DP17" i="6" s="1"/>
  <c r="CX17" i="6"/>
  <c r="DQ17" i="6"/>
  <c r="BT18" i="6"/>
  <c r="DF18" i="6"/>
  <c r="DG18" i="6" s="1"/>
  <c r="CC18" i="6"/>
  <c r="DI18" i="6"/>
  <c r="DJ18" i="6" s="1"/>
  <c r="CF18" i="6"/>
  <c r="DL18" i="6"/>
  <c r="CO18" i="6"/>
  <c r="DO18" i="6"/>
  <c r="DP18" i="6" s="1"/>
  <c r="CX18" i="6"/>
  <c r="DQ18" i="6"/>
  <c r="DQ19" i="6"/>
  <c r="DA24" i="6"/>
  <c r="DO20" i="6"/>
  <c r="DP20" i="6" s="1"/>
  <c r="DA20" i="6"/>
  <c r="DR20" i="6"/>
  <c r="DS20" i="6" s="1"/>
  <c r="DM20" i="6"/>
  <c r="BW21" i="6"/>
  <c r="BZ24" i="6"/>
  <c r="BZ21" i="6"/>
  <c r="CC24" i="6"/>
  <c r="DF21" i="6"/>
  <c r="CC21" i="6"/>
  <c r="DI21" i="6"/>
  <c r="DJ21" i="6" s="1"/>
  <c r="CF21" i="6"/>
  <c r="CI21" i="6"/>
  <c r="DL21" i="6"/>
  <c r="CO21" i="6"/>
  <c r="CU21" i="6"/>
  <c r="DO21" i="6"/>
  <c r="DP21" i="6" s="1"/>
  <c r="CX21" i="6"/>
  <c r="DD24" i="6"/>
  <c r="DD21" i="6"/>
  <c r="DQ21" i="6"/>
  <c r="BT22" i="6"/>
  <c r="DF22" i="6"/>
  <c r="DG22" i="6" s="1"/>
  <c r="CC22" i="6"/>
  <c r="DI22" i="6"/>
  <c r="DJ22" i="6" s="1"/>
  <c r="CF22" i="6"/>
  <c r="DL22" i="6"/>
  <c r="CO22" i="6"/>
  <c r="DO22" i="6"/>
  <c r="DP22" i="6" s="1"/>
  <c r="CX22" i="6"/>
  <c r="DQ22" i="6"/>
  <c r="CC23" i="6"/>
  <c r="DI23" i="6"/>
  <c r="DJ23" i="6" s="1"/>
  <c r="CF23" i="6"/>
  <c r="DL23" i="6"/>
  <c r="CO23" i="6"/>
  <c r="DO23" i="6"/>
  <c r="DP23" i="6" s="1"/>
  <c r="CX23" i="6"/>
  <c r="DQ23" i="6"/>
  <c r="DK24" i="6"/>
  <c r="DQ24" i="6" s="1"/>
  <c r="CO24" i="6"/>
  <c r="DO25" i="6"/>
  <c r="DP25" i="6" s="1"/>
  <c r="CX25" i="6"/>
  <c r="DA29" i="6"/>
  <c r="DA25" i="6"/>
  <c r="DJ25" i="6"/>
  <c r="DQ25" i="6"/>
  <c r="DM25" i="6"/>
  <c r="DO26" i="6"/>
  <c r="DP26" i="6" s="1"/>
  <c r="CX26" i="6"/>
  <c r="DQ26" i="6"/>
  <c r="DJ26" i="6"/>
  <c r="BT27" i="6"/>
  <c r="BW27" i="6"/>
  <c r="BZ29" i="6"/>
  <c r="BZ27" i="6"/>
  <c r="CC29" i="6"/>
  <c r="DF27" i="6"/>
  <c r="CC27" i="6"/>
  <c r="DI27" i="6"/>
  <c r="DJ27" i="6" s="1"/>
  <c r="CF27" i="6"/>
  <c r="CI27" i="6"/>
  <c r="DL27" i="6"/>
  <c r="CO27" i="6"/>
  <c r="CR29" i="6"/>
  <c r="CR27" i="6"/>
  <c r="CU29" i="6"/>
  <c r="CU27" i="6"/>
  <c r="DO27" i="6"/>
  <c r="DP27" i="6" s="1"/>
  <c r="CX27" i="6"/>
  <c r="DQ27" i="6"/>
  <c r="CC28" i="6"/>
  <c r="DI28" i="6"/>
  <c r="DJ28" i="6" s="1"/>
  <c r="CF28" i="6"/>
  <c r="DL28" i="6"/>
  <c r="CO28" i="6"/>
  <c r="DO28" i="6"/>
  <c r="DP28" i="6" s="1"/>
  <c r="CX28" i="6"/>
  <c r="DD29" i="6"/>
  <c r="DD28" i="6"/>
  <c r="DQ28" i="6"/>
  <c r="DQ29" i="6"/>
  <c r="BS34" i="6"/>
  <c r="BT34" i="6" s="1"/>
  <c r="BT30" i="6"/>
  <c r="DO30" i="6"/>
  <c r="DP30" i="6" s="1"/>
  <c r="CX30" i="6"/>
  <c r="DG30" i="6"/>
  <c r="DJ30" i="6"/>
  <c r="DQ30" i="6"/>
  <c r="DR30" i="6"/>
  <c r="DS30" i="6" s="1"/>
  <c r="DM30" i="6"/>
  <c r="BT31" i="6"/>
  <c r="DO31" i="6"/>
  <c r="DP31" i="6" s="1"/>
  <c r="CX31" i="6"/>
  <c r="DG31" i="6"/>
  <c r="DJ31" i="6"/>
  <c r="DQ31" i="6"/>
  <c r="DR31" i="6"/>
  <c r="DS31" i="6" s="1"/>
  <c r="DM31" i="6"/>
  <c r="BT32" i="6"/>
  <c r="DO32" i="6"/>
  <c r="DP32" i="6" s="1"/>
  <c r="CX32" i="6"/>
  <c r="DG32" i="6"/>
  <c r="DJ32" i="6"/>
  <c r="DQ32" i="6"/>
  <c r="DR32" i="6"/>
  <c r="DS32" i="6" s="1"/>
  <c r="DM32" i="6"/>
  <c r="BT33" i="6"/>
  <c r="BV34" i="6"/>
  <c r="BW34" i="6" s="1"/>
  <c r="BW33" i="6"/>
  <c r="BZ34" i="6"/>
  <c r="BZ33" i="6"/>
  <c r="CC34" i="6"/>
  <c r="DF33" i="6"/>
  <c r="CC33" i="6"/>
  <c r="DI33" i="6"/>
  <c r="DJ33" i="6" s="1"/>
  <c r="CF33" i="6"/>
  <c r="CI33" i="6"/>
  <c r="DL33" i="6"/>
  <c r="CO33" i="6"/>
  <c r="CU33" i="6"/>
  <c r="DO33" i="6"/>
  <c r="DP33" i="6" s="1"/>
  <c r="CX33" i="6"/>
  <c r="DA34" i="6"/>
  <c r="DA33" i="6"/>
  <c r="DD34" i="6"/>
  <c r="DD33" i="6"/>
  <c r="DQ33" i="6"/>
  <c r="DK34" i="6"/>
  <c r="DQ34" i="6" s="1"/>
  <c r="CO34" i="6"/>
  <c r="H75" i="1"/>
  <c r="H5" i="1"/>
  <c r="H4" i="1" s="1"/>
  <c r="I5" i="1"/>
  <c r="F5" i="1"/>
  <c r="G5" i="1"/>
  <c r="D5" i="1"/>
  <c r="E5" i="1"/>
  <c r="OQ1" i="1"/>
  <c r="OP1" i="1"/>
  <c r="OJ40" i="1"/>
  <c r="ON46" i="1"/>
  <c r="OI74" i="1"/>
  <c r="ON41" i="1"/>
  <c r="OI69" i="1"/>
  <c r="ON42" i="1"/>
  <c r="OI70" i="1"/>
  <c r="OK40" i="1"/>
  <c r="NX68" i="1"/>
  <c r="OG68" i="1"/>
  <c r="OM40" i="1"/>
  <c r="OM68" i="1" s="1"/>
  <c r="NZ68" i="1"/>
  <c r="OL40" i="1"/>
  <c r="OL68" i="1" s="1"/>
  <c r="NY68" i="1"/>
  <c r="OJ58" i="1"/>
  <c r="OK58" i="1"/>
  <c r="J13" i="1"/>
  <c r="AO4" i="6"/>
  <c r="AP4" i="6" s="1"/>
  <c r="W3" i="8"/>
  <c r="X3" i="8"/>
  <c r="Y3" i="8"/>
  <c r="Z3" i="8"/>
  <c r="W8" i="8"/>
  <c r="X8" i="8"/>
  <c r="Y8" i="8"/>
  <c r="Z8" i="8"/>
  <c r="W7" i="8"/>
  <c r="X7" i="8"/>
  <c r="Y7" i="8"/>
  <c r="Z7" i="8"/>
  <c r="W13" i="8"/>
  <c r="X13" i="8"/>
  <c r="Y13" i="8"/>
  <c r="Z13" i="8"/>
  <c r="W17" i="8"/>
  <c r="X17" i="8"/>
  <c r="Y17" i="8"/>
  <c r="Z17" i="8"/>
  <c r="D2" i="8"/>
  <c r="W5" i="8"/>
  <c r="X5" i="8"/>
  <c r="Y5" i="8"/>
  <c r="Z5" i="8"/>
  <c r="W6" i="8"/>
  <c r="X6" i="8"/>
  <c r="Y6" i="8"/>
  <c r="Z6" i="8"/>
  <c r="W4" i="8"/>
  <c r="X4" i="8"/>
  <c r="Y4" i="8"/>
  <c r="Z4" i="8"/>
  <c r="W10" i="8"/>
  <c r="X10" i="8"/>
  <c r="Y10" i="8"/>
  <c r="Z10" i="8"/>
  <c r="W23" i="8"/>
  <c r="X23" i="8"/>
  <c r="Y23" i="8"/>
  <c r="Z23" i="8"/>
  <c r="D22" i="8"/>
  <c r="W24" i="8"/>
  <c r="X24" i="8"/>
  <c r="Y24" i="8"/>
  <c r="Z24" i="8"/>
  <c r="W21" i="8"/>
  <c r="X21" i="8"/>
  <c r="Y21" i="8"/>
  <c r="Z21" i="8"/>
  <c r="W20" i="8"/>
  <c r="X20" i="8"/>
  <c r="Y20" i="8"/>
  <c r="Z20" i="8"/>
  <c r="W19" i="8"/>
  <c r="X19" i="8"/>
  <c r="Y19" i="8"/>
  <c r="Z19" i="8"/>
  <c r="W15" i="8"/>
  <c r="X15" i="8"/>
  <c r="Y15" i="8"/>
  <c r="Z15" i="8"/>
  <c r="W16" i="8"/>
  <c r="X16" i="8"/>
  <c r="Y16" i="8"/>
  <c r="Z16" i="8"/>
  <c r="W12" i="8"/>
  <c r="X12" i="8"/>
  <c r="Y12" i="8"/>
  <c r="Z12" i="8"/>
  <c r="W18" i="8"/>
  <c r="X18" i="8"/>
  <c r="Y18" i="8"/>
  <c r="Z18" i="8"/>
  <c r="W9" i="8"/>
  <c r="X9" i="8"/>
  <c r="Y9" i="8"/>
  <c r="Z9" i="8"/>
  <c r="Z25" i="8"/>
  <c r="Y25" i="8"/>
  <c r="X25" i="8"/>
  <c r="W25" i="8"/>
  <c r="Q2" i="8"/>
  <c r="W11" i="8"/>
  <c r="X11" i="8"/>
  <c r="Y11" i="8"/>
  <c r="Z11" i="8"/>
  <c r="OJ41" i="1"/>
  <c r="OJ69" i="1" s="1"/>
  <c r="N46" i="6"/>
  <c r="AO21" i="6"/>
  <c r="E21" i="6"/>
  <c r="OI32" i="1"/>
  <c r="NZ32" i="1"/>
  <c r="NZ49" i="1"/>
  <c r="NZ38" i="1"/>
  <c r="NZ55" i="1"/>
  <c r="NZ37" i="1"/>
  <c r="NZ54" i="1"/>
  <c r="NZ36" i="1"/>
  <c r="NZ35" i="1"/>
  <c r="NZ52" i="1"/>
  <c r="NZ34" i="1"/>
  <c r="NZ51" i="1"/>
  <c r="NZ33" i="1"/>
  <c r="NZ50" i="1"/>
  <c r="OB32" i="1"/>
  <c r="OB49" i="1"/>
  <c r="OB38" i="1"/>
  <c r="OB55" i="1"/>
  <c r="OB37" i="1"/>
  <c r="OB54" i="1"/>
  <c r="OB36" i="1"/>
  <c r="OB35" i="1"/>
  <c r="OB52" i="1"/>
  <c r="OB34" i="1"/>
  <c r="OB51" i="1"/>
  <c r="OB33" i="1"/>
  <c r="OB50" i="1"/>
  <c r="OC32" i="1"/>
  <c r="OC49" i="1"/>
  <c r="OC38" i="1"/>
  <c r="OC55" i="1"/>
  <c r="OC37" i="1"/>
  <c r="OC54" i="1"/>
  <c r="OC36" i="1"/>
  <c r="OC35" i="1"/>
  <c r="OC52" i="1"/>
  <c r="OC34" i="1"/>
  <c r="OC51" i="1"/>
  <c r="OC33" i="1"/>
  <c r="OC50" i="1"/>
  <c r="OE32" i="1"/>
  <c r="OE49" i="1"/>
  <c r="OE38" i="1"/>
  <c r="OE55" i="1"/>
  <c r="OE37" i="1"/>
  <c r="OE54" i="1"/>
  <c r="OE36" i="1"/>
  <c r="OE35" i="1"/>
  <c r="OE52" i="1"/>
  <c r="OE34" i="1"/>
  <c r="OE51" i="1"/>
  <c r="OE33" i="1"/>
  <c r="OE50" i="1"/>
  <c r="OF32" i="1"/>
  <c r="OF49" i="1"/>
  <c r="OF38" i="1"/>
  <c r="OF55" i="1"/>
  <c r="OF37" i="1"/>
  <c r="OF54" i="1"/>
  <c r="OF36" i="1"/>
  <c r="OF35" i="1"/>
  <c r="OF52" i="1"/>
  <c r="OF34" i="1"/>
  <c r="OF51" i="1"/>
  <c r="OF33" i="1"/>
  <c r="OF50" i="1"/>
  <c r="OH38" i="1"/>
  <c r="OH55" i="1"/>
  <c r="NY38" i="1"/>
  <c r="NY55" i="1"/>
  <c r="OH37" i="1"/>
  <c r="OH54" i="1"/>
  <c r="NY37" i="1"/>
  <c r="NY54" i="1"/>
  <c r="OH36" i="1"/>
  <c r="NY36" i="1"/>
  <c r="OH35" i="1"/>
  <c r="OH52" i="1"/>
  <c r="NY35" i="1"/>
  <c r="NY52" i="1"/>
  <c r="OH34" i="1"/>
  <c r="OH51" i="1"/>
  <c r="NY34" i="1"/>
  <c r="NY51" i="1"/>
  <c r="OH33" i="1"/>
  <c r="OH50" i="1"/>
  <c r="OH32" i="1"/>
  <c r="OH49" i="1"/>
  <c r="AL37" i="6"/>
  <c r="AL39" i="6" s="1"/>
  <c r="AO13" i="6"/>
  <c r="AO33" i="6"/>
  <c r="E37" i="6"/>
  <c r="BA37" i="6"/>
  <c r="BB37" i="6" s="1"/>
  <c r="AM37" i="6"/>
  <c r="AL6" i="6"/>
  <c r="AM6" i="6" s="1"/>
  <c r="BA13" i="6"/>
  <c r="BB13" i="6" s="1"/>
  <c r="AP13" i="6"/>
  <c r="E33" i="6"/>
  <c r="BA33" i="6"/>
  <c r="BB33" i="6" s="1"/>
  <c r="AO34" i="6"/>
  <c r="AP33" i="6"/>
  <c r="AL26" i="6"/>
  <c r="AL29" i="6" s="1"/>
  <c r="AM29" i="6" s="1"/>
  <c r="AI26" i="6"/>
  <c r="AI29" i="6" s="1"/>
  <c r="M58" i="6"/>
  <c r="M92" i="6" s="1"/>
  <c r="BC7" i="6"/>
  <c r="BC6" i="6"/>
  <c r="BC5" i="6"/>
  <c r="BC4" i="6"/>
  <c r="BC3" i="6"/>
  <c r="N48" i="6"/>
  <c r="M48" i="6"/>
  <c r="M82" i="6" s="1"/>
  <c r="OJ10" i="1"/>
  <c r="ON10" i="1"/>
  <c r="OI20" i="1"/>
  <c r="OJ5" i="1"/>
  <c r="ON5" i="1"/>
  <c r="OI15" i="1"/>
  <c r="OJ9" i="1"/>
  <c r="ON9" i="1"/>
  <c r="OI19" i="1"/>
  <c r="OJ8" i="1"/>
  <c r="ON8" i="1"/>
  <c r="OI18" i="1"/>
  <c r="OJ7" i="1"/>
  <c r="ON7" i="1"/>
  <c r="OI17" i="1"/>
  <c r="E33" i="1"/>
  <c r="G24" i="1"/>
  <c r="BD39" i="6"/>
  <c r="BF39" i="6" s="1"/>
  <c r="AX4" i="6"/>
  <c r="AX5" i="6"/>
  <c r="AX6" i="6"/>
  <c r="AX7" i="6"/>
  <c r="BD34" i="6"/>
  <c r="BF34" i="6" s="1"/>
  <c r="BD26" i="6"/>
  <c r="BD38" i="6"/>
  <c r="BF38" i="6" s="1"/>
  <c r="BD37" i="6"/>
  <c r="BD36" i="6"/>
  <c r="BF36" i="6" s="1"/>
  <c r="BD35" i="6"/>
  <c r="BD33" i="6"/>
  <c r="BF33" i="6" s="1"/>
  <c r="BD32" i="6"/>
  <c r="BD31" i="6"/>
  <c r="BD30" i="6"/>
  <c r="BD13" i="6"/>
  <c r="BF13" i="6" s="1"/>
  <c r="BD10" i="6"/>
  <c r="BF10" i="6" s="1"/>
  <c r="BD9" i="6"/>
  <c r="BF9" i="6" s="1"/>
  <c r="BD18" i="6"/>
  <c r="BF18" i="6" s="1"/>
  <c r="BD17" i="6"/>
  <c r="BF17" i="6" s="1"/>
  <c r="BD16" i="6"/>
  <c r="BF16" i="6" s="1"/>
  <c r="OK23" i="1"/>
  <c r="OJ23" i="1"/>
  <c r="OL23" i="1"/>
  <c r="NY32" i="1"/>
  <c r="O2" i="8"/>
  <c r="AI4" i="6"/>
  <c r="AI5" i="6"/>
  <c r="E15" i="6"/>
  <c r="E16" i="6"/>
  <c r="F16" i="6" s="1"/>
  <c r="AI7" i="6"/>
  <c r="E17" i="6"/>
  <c r="F17" i="6" s="1"/>
  <c r="E18" i="6"/>
  <c r="F18" i="6" s="1"/>
  <c r="AI3" i="6"/>
  <c r="E9" i="6"/>
  <c r="OK4" i="1"/>
  <c r="OJ20" i="1"/>
  <c r="NX20" i="1"/>
  <c r="OJ19" i="1"/>
  <c r="NX19" i="1"/>
  <c r="OJ18" i="1"/>
  <c r="NX18" i="1"/>
  <c r="OJ17" i="1"/>
  <c r="NX17" i="1"/>
  <c r="NX16" i="1"/>
  <c r="OJ15" i="1"/>
  <c r="NX15" i="1"/>
  <c r="OA14" i="1"/>
  <c r="OL4" i="1"/>
  <c r="OL14" i="1" s="1"/>
  <c r="OA20" i="1"/>
  <c r="OL20" i="1"/>
  <c r="OA19" i="1"/>
  <c r="OL19" i="1"/>
  <c r="OA18" i="1"/>
  <c r="OL18" i="1"/>
  <c r="OA17" i="1"/>
  <c r="OL17" i="1"/>
  <c r="OA16" i="1"/>
  <c r="OL16" i="1"/>
  <c r="OA15" i="1"/>
  <c r="OL15" i="1"/>
  <c r="OD14" i="1"/>
  <c r="OM14" i="1"/>
  <c r="OD20" i="1"/>
  <c r="OM20" i="1"/>
  <c r="OD19" i="1"/>
  <c r="OM19" i="1"/>
  <c r="OD18" i="1"/>
  <c r="OM18" i="1"/>
  <c r="OD17" i="1"/>
  <c r="OM17" i="1"/>
  <c r="OD16" i="1"/>
  <c r="OM16" i="1"/>
  <c r="OD15" i="1"/>
  <c r="OM15" i="1"/>
  <c r="OG14" i="1"/>
  <c r="ON4" i="1"/>
  <c r="OG20" i="1"/>
  <c r="ON20" i="1"/>
  <c r="ON38" i="1" s="1"/>
  <c r="OG19" i="1"/>
  <c r="ON19" i="1"/>
  <c r="ON37" i="1" s="1"/>
  <c r="OG18" i="1"/>
  <c r="ON18" i="1"/>
  <c r="ON36" i="1" s="1"/>
  <c r="OG17" i="1"/>
  <c r="ON17" i="1"/>
  <c r="OG16" i="1"/>
  <c r="OG15" i="1"/>
  <c r="ON15" i="1"/>
  <c r="ON33" i="1" s="1"/>
  <c r="OJ4" i="1"/>
  <c r="OJ14" i="1" s="1"/>
  <c r="NX14" i="1"/>
  <c r="LK1" i="1"/>
  <c r="LL1" i="1"/>
  <c r="LM1" i="1"/>
  <c r="LN1" i="1"/>
  <c r="LO1" i="1"/>
  <c r="LP1" i="1"/>
  <c r="LQ1" i="1"/>
  <c r="LR1" i="1"/>
  <c r="LS1" i="1"/>
  <c r="LT1" i="1"/>
  <c r="LU1" i="1"/>
  <c r="LV1" i="1"/>
  <c r="LW1" i="1"/>
  <c r="LX1" i="1"/>
  <c r="LY1" i="1"/>
  <c r="LZ1" i="1"/>
  <c r="MA1" i="1"/>
  <c r="MB1" i="1"/>
  <c r="MC1" i="1"/>
  <c r="MD1" i="1"/>
  <c r="ME1" i="1"/>
  <c r="MF1" i="1"/>
  <c r="MG1" i="1"/>
  <c r="MH1" i="1"/>
  <c r="MI1" i="1"/>
  <c r="MJ1" i="1"/>
  <c r="MK1" i="1"/>
  <c r="ML1" i="1"/>
  <c r="MM1" i="1"/>
  <c r="MN1" i="1"/>
  <c r="MO1" i="1"/>
  <c r="MP1" i="1"/>
  <c r="MQ1" i="1"/>
  <c r="MR1" i="1"/>
  <c r="MS1" i="1"/>
  <c r="MT1" i="1"/>
  <c r="MU1" i="1"/>
  <c r="MV1" i="1"/>
  <c r="MW1" i="1"/>
  <c r="MX1" i="1"/>
  <c r="MY1" i="1"/>
  <c r="MZ1" i="1"/>
  <c r="NA1" i="1"/>
  <c r="NB1" i="1"/>
  <c r="NC1" i="1"/>
  <c r="ND1" i="1"/>
  <c r="NE1" i="1"/>
  <c r="NF1" i="1"/>
  <c r="NG1" i="1"/>
  <c r="NH1" i="1"/>
  <c r="NI1" i="1"/>
  <c r="NJ1" i="1"/>
  <c r="NK1" i="1"/>
  <c r="NL1" i="1"/>
  <c r="NM1" i="1"/>
  <c r="NN1" i="1"/>
  <c r="NO1" i="1"/>
  <c r="NP1" i="1"/>
  <c r="NQ1" i="1"/>
  <c r="NR1" i="1"/>
  <c r="NS1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H46" i="1"/>
  <c r="H24" i="1"/>
  <c r="H45" i="1"/>
  <c r="H23" i="1"/>
  <c r="I65" i="1"/>
  <c r="I24" i="1"/>
  <c r="I45" i="1"/>
  <c r="I23" i="1"/>
  <c r="H47" i="1"/>
  <c r="CB46" i="6" s="1"/>
  <c r="BV28" i="6" s="1"/>
  <c r="H25" i="1"/>
  <c r="I66" i="1"/>
  <c r="I25" i="1"/>
  <c r="G45" i="1"/>
  <c r="G23" i="1"/>
  <c r="G47" i="1"/>
  <c r="G25" i="1"/>
  <c r="G32" i="1"/>
  <c r="G31" i="1"/>
  <c r="BC19" i="6"/>
  <c r="BE39" i="6"/>
  <c r="BC14" i="6"/>
  <c r="BC24" i="6"/>
  <c r="BC29" i="6"/>
  <c r="BC34" i="6"/>
  <c r="BC26" i="6"/>
  <c r="BC38" i="6"/>
  <c r="BC37" i="6"/>
  <c r="BC36" i="6"/>
  <c r="BC35" i="6"/>
  <c r="BC33" i="6"/>
  <c r="BC32" i="6"/>
  <c r="BC31" i="6"/>
  <c r="BC30" i="6"/>
  <c r="BC28" i="6"/>
  <c r="BC27" i="6"/>
  <c r="BC25" i="6"/>
  <c r="BC23" i="6"/>
  <c r="BC22" i="6"/>
  <c r="BC21" i="6"/>
  <c r="BC18" i="6"/>
  <c r="BC17" i="6"/>
  <c r="BC16" i="6"/>
  <c r="BC15" i="6"/>
  <c r="BC13" i="6"/>
  <c r="BC10" i="6"/>
  <c r="BC9" i="6"/>
  <c r="AX19" i="6"/>
  <c r="BD19" i="6" s="1"/>
  <c r="BF19" i="6" s="1"/>
  <c r="BC12" i="6"/>
  <c r="BC11" i="6"/>
  <c r="LJ1" i="1"/>
  <c r="R4" i="1"/>
  <c r="J69" i="1" s="1"/>
  <c r="F76" i="1"/>
  <c r="F75" i="1"/>
  <c r="F74" i="1"/>
  <c r="F73" i="1"/>
  <c r="F34" i="1"/>
  <c r="F32" i="1"/>
  <c r="F31" i="1"/>
  <c r="F30" i="1"/>
  <c r="R10" i="1"/>
  <c r="G75" i="1"/>
  <c r="G74" i="1"/>
  <c r="G73" i="1"/>
  <c r="R9" i="1"/>
  <c r="I74" i="1"/>
  <c r="I73" i="1"/>
  <c r="R7" i="1"/>
  <c r="D75" i="1"/>
  <c r="D74" i="1"/>
  <c r="D73" i="1"/>
  <c r="D33" i="1"/>
  <c r="D32" i="1"/>
  <c r="D31" i="1"/>
  <c r="D30" i="1"/>
  <c r="R6" i="1"/>
  <c r="E74" i="1"/>
  <c r="E32" i="1"/>
  <c r="R5" i="1"/>
  <c r="J34" i="1"/>
  <c r="J33" i="1"/>
  <c r="J32" i="1"/>
  <c r="J31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AR8" i="6"/>
  <c r="KF1" i="1"/>
  <c r="KG1" i="1"/>
  <c r="KH1" i="1"/>
  <c r="KI1" i="1"/>
  <c r="KJ1" i="1"/>
  <c r="KK1" i="1"/>
  <c r="KL1" i="1"/>
  <c r="KM1" i="1"/>
  <c r="KN1" i="1"/>
  <c r="KO1" i="1"/>
  <c r="KP1" i="1"/>
  <c r="KQ1" i="1"/>
  <c r="KR1" i="1"/>
  <c r="KS1" i="1"/>
  <c r="KT1" i="1"/>
  <c r="KU1" i="1"/>
  <c r="KV1" i="1"/>
  <c r="KW1" i="1"/>
  <c r="KX1" i="1"/>
  <c r="KY1" i="1"/>
  <c r="KZ1" i="1"/>
  <c r="LA1" i="1"/>
  <c r="LB1" i="1"/>
  <c r="LC1" i="1"/>
  <c r="LD1" i="1"/>
  <c r="LE1" i="1"/>
  <c r="LF1" i="1"/>
  <c r="LG1" i="1"/>
  <c r="LH1" i="1"/>
  <c r="LI1" i="1"/>
  <c r="BE18" i="6"/>
  <c r="BE16" i="6"/>
  <c r="BE15" i="6"/>
  <c r="BE36" i="6"/>
  <c r="E13" i="6"/>
  <c r="AF3" i="6"/>
  <c r="BE10" i="6"/>
  <c r="E10" i="6"/>
  <c r="AF14" i="6"/>
  <c r="AX14" i="6" s="1"/>
  <c r="AX11" i="6"/>
  <c r="BD11" i="6" s="1"/>
  <c r="BF11" i="6" s="1"/>
  <c r="E12" i="6"/>
  <c r="AX12" i="6"/>
  <c r="BD12" i="6" s="1"/>
  <c r="BF12" i="6" s="1"/>
  <c r="AB8" i="6"/>
  <c r="AW8" i="6" s="1"/>
  <c r="BC8" i="6" s="1"/>
  <c r="F15" i="8"/>
  <c r="D14" i="8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B1" i="1"/>
  <c r="JC1" i="1"/>
  <c r="JD1" i="1"/>
  <c r="JE1" i="1"/>
  <c r="JF1" i="1"/>
  <c r="JG1" i="1"/>
  <c r="JH1" i="1"/>
  <c r="JI1" i="1"/>
  <c r="JJ1" i="1"/>
  <c r="JK1" i="1"/>
  <c r="JL1" i="1"/>
  <c r="JM1" i="1"/>
  <c r="JN1" i="1"/>
  <c r="JO1" i="1"/>
  <c r="JP1" i="1"/>
  <c r="JQ1" i="1"/>
  <c r="JR1" i="1"/>
  <c r="JS1" i="1"/>
  <c r="JT1" i="1"/>
  <c r="JU1" i="1"/>
  <c r="JV1" i="1"/>
  <c r="JW1" i="1"/>
  <c r="JX1" i="1"/>
  <c r="JY1" i="1"/>
  <c r="JZ1" i="1"/>
  <c r="KA1" i="1"/>
  <c r="KB1" i="1"/>
  <c r="KC1" i="1"/>
  <c r="KD1" i="1"/>
  <c r="KE1" i="1"/>
  <c r="G64" i="1" l="1"/>
  <c r="CA44" i="6"/>
  <c r="BV20" i="6" s="1"/>
  <c r="BW28" i="6"/>
  <c r="BS28" i="6"/>
  <c r="BT28" i="6" s="1"/>
  <c r="DF28" i="6"/>
  <c r="DG28" i="6" s="1"/>
  <c r="CB44" i="6"/>
  <c r="BV25" i="6" s="1"/>
  <c r="H64" i="1"/>
  <c r="CB45" i="6"/>
  <c r="BV26" i="6" s="1"/>
  <c r="H65" i="1"/>
  <c r="H73" i="1"/>
  <c r="G66" i="1"/>
  <c r="CA46" i="6"/>
  <c r="BV23" i="6" s="1"/>
  <c r="BS21" i="6"/>
  <c r="BV5" i="6"/>
  <c r="E14" i="6"/>
  <c r="BH4" i="6" s="1"/>
  <c r="H66" i="1"/>
  <c r="H74" i="1"/>
  <c r="AM39" i="6"/>
  <c r="AX29" i="6"/>
  <c r="AY29" i="6" s="1"/>
  <c r="AA29" i="6"/>
  <c r="DL34" i="6"/>
  <c r="CU34" i="6"/>
  <c r="DR33" i="6"/>
  <c r="DM33" i="6"/>
  <c r="DI34" i="6"/>
  <c r="DJ34" i="6" s="1"/>
  <c r="CI34" i="6"/>
  <c r="DG33" i="6"/>
  <c r="DF34" i="6"/>
  <c r="DG34" i="6" s="1"/>
  <c r="DO34" i="6"/>
  <c r="DP34" i="6" s="1"/>
  <c r="CX34" i="6"/>
  <c r="DR28" i="6"/>
  <c r="DS28" i="6" s="1"/>
  <c r="DM28" i="6"/>
  <c r="DR27" i="6"/>
  <c r="DS27" i="6" s="1"/>
  <c r="DM27" i="6"/>
  <c r="DL29" i="6"/>
  <c r="CO29" i="6"/>
  <c r="DI29" i="6"/>
  <c r="DJ29" i="6" s="1"/>
  <c r="CI29" i="6"/>
  <c r="DG27" i="6"/>
  <c r="DO29" i="6"/>
  <c r="DP29" i="6" s="1"/>
  <c r="CX29" i="6"/>
  <c r="DM23" i="6"/>
  <c r="DR22" i="6"/>
  <c r="DS22" i="6" s="1"/>
  <c r="DM22" i="6"/>
  <c r="DO24" i="6"/>
  <c r="DP24" i="6" s="1"/>
  <c r="CX24" i="6"/>
  <c r="DL24" i="6"/>
  <c r="CU24" i="6"/>
  <c r="DR21" i="6"/>
  <c r="DM21" i="6"/>
  <c r="DI24" i="6"/>
  <c r="DJ24" i="6" s="1"/>
  <c r="CI24" i="6"/>
  <c r="DG21" i="6"/>
  <c r="DR18" i="6"/>
  <c r="DM18" i="6"/>
  <c r="DR17" i="6"/>
  <c r="DM17" i="6"/>
  <c r="DR16" i="6"/>
  <c r="DM16" i="6"/>
  <c r="DO19" i="6"/>
  <c r="DP19" i="6" s="1"/>
  <c r="CX19" i="6"/>
  <c r="DL19" i="6"/>
  <c r="DM15" i="6"/>
  <c r="DI19" i="6"/>
  <c r="DJ19" i="6" s="1"/>
  <c r="DJ15" i="6"/>
  <c r="DR13" i="6"/>
  <c r="DM13" i="6"/>
  <c r="DR12" i="6"/>
  <c r="DM12" i="6"/>
  <c r="DR11" i="6"/>
  <c r="DM11" i="6"/>
  <c r="DO14" i="6"/>
  <c r="DP14" i="6" s="1"/>
  <c r="CX14" i="6"/>
  <c r="DM10" i="6"/>
  <c r="DL14" i="6"/>
  <c r="CO14" i="6"/>
  <c r="DI14" i="6"/>
  <c r="DJ14" i="6" s="1"/>
  <c r="CF14" i="6"/>
  <c r="CC14" i="6"/>
  <c r="DT9" i="6"/>
  <c r="DS9" i="6"/>
  <c r="DM7" i="6"/>
  <c r="DR6" i="6"/>
  <c r="DM6" i="6"/>
  <c r="DM5" i="6"/>
  <c r="DM4" i="6"/>
  <c r="DO8" i="6"/>
  <c r="DP8" i="6" s="1"/>
  <c r="CX8" i="6"/>
  <c r="DL8" i="6"/>
  <c r="CO8" i="6"/>
  <c r="DQ8" i="6"/>
  <c r="DR3" i="6"/>
  <c r="DM3" i="6"/>
  <c r="DJ3" i="6"/>
  <c r="DI8" i="6"/>
  <c r="DJ8" i="6" s="1"/>
  <c r="CF8" i="6"/>
  <c r="CC8" i="6"/>
  <c r="F45" i="1"/>
  <c r="BZ44" i="6" s="1"/>
  <c r="BV10" i="6" s="1"/>
  <c r="D3" i="7"/>
  <c r="F23" i="1"/>
  <c r="F4" i="1"/>
  <c r="D11" i="7"/>
  <c r="G4" i="1"/>
  <c r="D45" i="1"/>
  <c r="BX44" i="6" s="1"/>
  <c r="BV15" i="6" s="1"/>
  <c r="D7" i="7"/>
  <c r="D23" i="1"/>
  <c r="D4" i="1"/>
  <c r="E45" i="1"/>
  <c r="BY45" i="6" s="1"/>
  <c r="D19" i="7"/>
  <c r="E4" i="1"/>
  <c r="J5" i="1"/>
  <c r="OK68" i="1"/>
  <c r="OM33" i="1"/>
  <c r="OM50" i="1"/>
  <c r="OM34" i="1"/>
  <c r="OM51" i="1"/>
  <c r="OM35" i="1"/>
  <c r="OM52" i="1"/>
  <c r="OM36" i="1"/>
  <c r="OM37" i="1"/>
  <c r="OM54" i="1"/>
  <c r="OM38" i="1"/>
  <c r="OM55" i="1"/>
  <c r="OM32" i="1"/>
  <c r="OM49" i="1"/>
  <c r="OL33" i="1"/>
  <c r="OL50" i="1"/>
  <c r="OL34" i="1"/>
  <c r="OL51" i="1"/>
  <c r="OL35" i="1"/>
  <c r="OL52" i="1"/>
  <c r="OL36" i="1"/>
  <c r="OL37" i="1"/>
  <c r="OL54" i="1"/>
  <c r="OL38" i="1"/>
  <c r="OL55" i="1"/>
  <c r="OL32" i="1"/>
  <c r="OL49" i="1"/>
  <c r="ON35" i="1"/>
  <c r="E4" i="6"/>
  <c r="F10" i="6"/>
  <c r="ON74" i="1"/>
  <c r="ON55" i="1"/>
  <c r="ON70" i="1"/>
  <c r="ON69" i="1"/>
  <c r="ON50" i="1"/>
  <c r="OJ30" i="1"/>
  <c r="OJ32" i="1"/>
  <c r="AO14" i="6"/>
  <c r="F14" i="8"/>
  <c r="W14" i="8"/>
  <c r="X14" i="8"/>
  <c r="Y14" i="8"/>
  <c r="Z14" i="8"/>
  <c r="J44" i="8"/>
  <c r="W22" i="8"/>
  <c r="X22" i="8"/>
  <c r="Y22" i="8"/>
  <c r="Z22" i="8"/>
  <c r="F22" i="8"/>
  <c r="X2" i="8"/>
  <c r="Y2" i="8"/>
  <c r="Z2" i="8"/>
  <c r="W2" i="8"/>
  <c r="F2" i="8"/>
  <c r="J42" i="8"/>
  <c r="J43" i="8"/>
  <c r="OJ42" i="1"/>
  <c r="OJ70" i="1" s="1"/>
  <c r="OJ50" i="1"/>
  <c r="N54" i="6"/>
  <c r="AO28" i="6"/>
  <c r="N56" i="6"/>
  <c r="AO38" i="6"/>
  <c r="N47" i="6"/>
  <c r="AO36" i="6"/>
  <c r="AO5" i="6" s="1"/>
  <c r="F21" i="6"/>
  <c r="E24" i="6"/>
  <c r="BA21" i="6"/>
  <c r="BB21" i="6" s="1"/>
  <c r="AO24" i="6"/>
  <c r="AP21" i="6"/>
  <c r="AP5" i="6"/>
  <c r="NX32" i="1"/>
  <c r="NX49" i="1"/>
  <c r="OG33" i="1"/>
  <c r="OG50" i="1"/>
  <c r="OG34" i="1"/>
  <c r="OG51" i="1"/>
  <c r="OG35" i="1"/>
  <c r="OG52" i="1"/>
  <c r="OG36" i="1"/>
  <c r="OG37" i="1"/>
  <c r="OG54" i="1"/>
  <c r="OG38" i="1"/>
  <c r="OG55" i="1"/>
  <c r="OG32" i="1"/>
  <c r="OG49" i="1"/>
  <c r="OD33" i="1"/>
  <c r="OD50" i="1"/>
  <c r="OD34" i="1"/>
  <c r="OD51" i="1"/>
  <c r="OD35" i="1"/>
  <c r="OD52" i="1"/>
  <c r="OD36" i="1"/>
  <c r="OD37" i="1"/>
  <c r="OD54" i="1"/>
  <c r="OD38" i="1"/>
  <c r="OD55" i="1"/>
  <c r="OD32" i="1"/>
  <c r="OD49" i="1"/>
  <c r="OA33" i="1"/>
  <c r="OA50" i="1"/>
  <c r="OA34" i="1"/>
  <c r="OA51" i="1"/>
  <c r="OA35" i="1"/>
  <c r="OA52" i="1"/>
  <c r="OA36" i="1"/>
  <c r="OA37" i="1"/>
  <c r="OA54" i="1"/>
  <c r="OA38" i="1"/>
  <c r="OA55" i="1"/>
  <c r="OA32" i="1"/>
  <c r="OA49" i="1"/>
  <c r="NX33" i="1"/>
  <c r="NX50" i="1"/>
  <c r="NX34" i="1"/>
  <c r="NX51" i="1"/>
  <c r="NX35" i="1"/>
  <c r="NX52" i="1"/>
  <c r="NX36" i="1"/>
  <c r="NX37" i="1"/>
  <c r="NX54" i="1"/>
  <c r="NX38" i="1"/>
  <c r="NX55" i="1"/>
  <c r="OI35" i="1"/>
  <c r="OI36" i="1"/>
  <c r="OI37" i="1"/>
  <c r="OI33" i="1"/>
  <c r="OI38" i="1"/>
  <c r="OJ33" i="1"/>
  <c r="BL5" i="6"/>
  <c r="OJ35" i="1"/>
  <c r="BM5" i="6"/>
  <c r="OJ36" i="1"/>
  <c r="BK5" i="6"/>
  <c r="OJ37" i="1"/>
  <c r="BJ5" i="6"/>
  <c r="OJ38" i="1"/>
  <c r="BH5" i="6"/>
  <c r="AJ29" i="6"/>
  <c r="BD29" i="6"/>
  <c r="F33" i="6"/>
  <c r="E34" i="6"/>
  <c r="BL4" i="6" s="1"/>
  <c r="F37" i="6"/>
  <c r="E26" i="6"/>
  <c r="BA26" i="6"/>
  <c r="BB26" i="6" s="1"/>
  <c r="AJ26" i="6"/>
  <c r="AM26" i="6"/>
  <c r="AL5" i="6"/>
  <c r="BA34" i="6"/>
  <c r="AP34" i="6"/>
  <c r="BD3" i="6"/>
  <c r="BF3" i="6" s="1"/>
  <c r="BD7" i="6"/>
  <c r="BD6" i="6"/>
  <c r="BF6" i="6" s="1"/>
  <c r="BD5" i="6"/>
  <c r="BD4" i="6"/>
  <c r="OJ6" i="1"/>
  <c r="OJ16" i="1" s="1"/>
  <c r="ON6" i="1"/>
  <c r="OI16" i="1"/>
  <c r="BF7" i="6"/>
  <c r="BF5" i="6"/>
  <c r="AY5" i="6"/>
  <c r="BF4" i="6"/>
  <c r="AY4" i="6"/>
  <c r="AS8" i="6"/>
  <c r="BE17" i="6"/>
  <c r="BE9" i="6"/>
  <c r="BE13" i="6"/>
  <c r="BE30" i="6"/>
  <c r="BE31" i="6"/>
  <c r="BE32" i="6"/>
  <c r="BE33" i="6"/>
  <c r="BE35" i="6"/>
  <c r="BE37" i="6"/>
  <c r="BE38" i="6"/>
  <c r="BE34" i="6"/>
  <c r="BE20" i="6"/>
  <c r="AJ7" i="6"/>
  <c r="BA6" i="6"/>
  <c r="BB6" i="6" s="1"/>
  <c r="AJ6" i="6"/>
  <c r="E19" i="6"/>
  <c r="BI4" i="6" s="1"/>
  <c r="F15" i="6"/>
  <c r="BA5" i="6"/>
  <c r="BB5" i="6" s="1"/>
  <c r="AJ5" i="6"/>
  <c r="BA4" i="6"/>
  <c r="BB4" i="6" s="1"/>
  <c r="AJ4" i="6"/>
  <c r="BA3" i="6"/>
  <c r="BB3" i="6" s="1"/>
  <c r="AI8" i="6"/>
  <c r="AJ3" i="6"/>
  <c r="ON14" i="1"/>
  <c r="OK15" i="1"/>
  <c r="OK16" i="1"/>
  <c r="OK17" i="1"/>
  <c r="OK18" i="1"/>
  <c r="OK19" i="1"/>
  <c r="OK20" i="1"/>
  <c r="OK14" i="1"/>
  <c r="I44" i="1"/>
  <c r="H44" i="1"/>
  <c r="H71" i="1" s="1"/>
  <c r="J47" i="1"/>
  <c r="G44" i="1"/>
  <c r="G62" i="1" s="1"/>
  <c r="G63" i="1" s="1"/>
  <c r="J46" i="1"/>
  <c r="J28" i="1"/>
  <c r="J70" i="1"/>
  <c r="AY19" i="6"/>
  <c r="BE26" i="6"/>
  <c r="BE24" i="6"/>
  <c r="BE25" i="6"/>
  <c r="BE21" i="6"/>
  <c r="BE27" i="6"/>
  <c r="BE22" i="6"/>
  <c r="BE28" i="6"/>
  <c r="BE23" i="6"/>
  <c r="BE29" i="6"/>
  <c r="E28" i="1"/>
  <c r="E69" i="1"/>
  <c r="E70" i="1" s="1"/>
  <c r="H33" i="1"/>
  <c r="D28" i="1"/>
  <c r="D69" i="1"/>
  <c r="D70" i="1" s="1"/>
  <c r="I28" i="1"/>
  <c r="I69" i="1"/>
  <c r="I70" i="1" s="1"/>
  <c r="G28" i="1"/>
  <c r="G69" i="1"/>
  <c r="G70" i="1" s="1"/>
  <c r="F69" i="1"/>
  <c r="F70" i="1" s="1"/>
  <c r="F28" i="1"/>
  <c r="AF8" i="6"/>
  <c r="AX8" i="6" s="1"/>
  <c r="AG3" i="6"/>
  <c r="E3" i="6"/>
  <c r="F9" i="6"/>
  <c r="AG6" i="6"/>
  <c r="AG7" i="6"/>
  <c r="BE12" i="6"/>
  <c r="AY12" i="6"/>
  <c r="E6" i="6"/>
  <c r="F12" i="6"/>
  <c r="BE11" i="6"/>
  <c r="AY11" i="6"/>
  <c r="F11" i="6"/>
  <c r="AG14" i="6"/>
  <c r="BD14" i="6"/>
  <c r="BF14" i="6" s="1"/>
  <c r="AD8" i="6"/>
  <c r="F14" i="6"/>
  <c r="F13" i="6"/>
  <c r="BV19" i="6" l="1"/>
  <c r="BW19" i="6" s="1"/>
  <c r="BS15" i="6"/>
  <c r="BW15" i="6"/>
  <c r="DF15" i="6"/>
  <c r="BS10" i="6"/>
  <c r="BV4" i="6"/>
  <c r="BV14" i="6"/>
  <c r="BW10" i="6"/>
  <c r="DF10" i="6"/>
  <c r="DF26" i="6"/>
  <c r="BW26" i="6"/>
  <c r="BS26" i="6"/>
  <c r="BT26" i="6" s="1"/>
  <c r="DF25" i="6"/>
  <c r="BW25" i="6"/>
  <c r="BS25" i="6"/>
  <c r="BV29" i="6"/>
  <c r="BW29" i="6" s="1"/>
  <c r="BW20" i="6"/>
  <c r="BS20" i="6"/>
  <c r="BT20" i="6" s="1"/>
  <c r="BW23" i="6"/>
  <c r="BS23" i="6"/>
  <c r="BV7" i="6"/>
  <c r="BV24" i="6"/>
  <c r="BW24" i="6" s="1"/>
  <c r="DF23" i="6"/>
  <c r="BV8" i="6"/>
  <c r="BW5" i="6"/>
  <c r="DF5" i="6"/>
  <c r="BS5" i="6"/>
  <c r="BS24" i="6"/>
  <c r="BT24" i="6" s="1"/>
  <c r="BT21" i="6"/>
  <c r="ON44" i="1"/>
  <c r="ON53" i="1" s="1"/>
  <c r="H62" i="1"/>
  <c r="H63" i="1" s="1"/>
  <c r="F6" i="6"/>
  <c r="DT3" i="6"/>
  <c r="DS3" i="6"/>
  <c r="DM8" i="6"/>
  <c r="DT6" i="6"/>
  <c r="DS6" i="6"/>
  <c r="DM14" i="6"/>
  <c r="DT11" i="6"/>
  <c r="DS11" i="6"/>
  <c r="DT12" i="6"/>
  <c r="DS12" i="6"/>
  <c r="DT13" i="6"/>
  <c r="DS13" i="6"/>
  <c r="DM19" i="6"/>
  <c r="DT16" i="6"/>
  <c r="DS16" i="6"/>
  <c r="DT17" i="6"/>
  <c r="DS17" i="6"/>
  <c r="DT18" i="6"/>
  <c r="DS18" i="6"/>
  <c r="DT21" i="6"/>
  <c r="DS21" i="6"/>
  <c r="DM24" i="6"/>
  <c r="DM29" i="6"/>
  <c r="DT33" i="6"/>
  <c r="DS33" i="6"/>
  <c r="DR34" i="6"/>
  <c r="DM34" i="6"/>
  <c r="M10" i="1"/>
  <c r="L10" i="1" s="1"/>
  <c r="F29" i="1" s="1"/>
  <c r="F22" i="1"/>
  <c r="F64" i="1"/>
  <c r="F44" i="1"/>
  <c r="F72" i="1"/>
  <c r="M9" i="1"/>
  <c r="L9" i="1" s="1"/>
  <c r="G29" i="1" s="1"/>
  <c r="G22" i="1"/>
  <c r="M6" i="1"/>
  <c r="L6" i="1" s="1"/>
  <c r="D29" i="1" s="1"/>
  <c r="D22" i="1"/>
  <c r="D44" i="1"/>
  <c r="D64" i="1"/>
  <c r="D72" i="1"/>
  <c r="J23" i="1"/>
  <c r="J4" i="1"/>
  <c r="J30" i="1"/>
  <c r="M5" i="1"/>
  <c r="L5" i="1" s="1"/>
  <c r="E29" i="1" s="1"/>
  <c r="E22" i="1"/>
  <c r="E64" i="1"/>
  <c r="E44" i="1"/>
  <c r="J45" i="1"/>
  <c r="OK32" i="1"/>
  <c r="OK49" i="1"/>
  <c r="OK38" i="1"/>
  <c r="OK55" i="1"/>
  <c r="OK37" i="1"/>
  <c r="OK54" i="1"/>
  <c r="OK36" i="1"/>
  <c r="OK35" i="1"/>
  <c r="OK52" i="1"/>
  <c r="OK34" i="1"/>
  <c r="OK51" i="1"/>
  <c r="OK33" i="1"/>
  <c r="OK50" i="1"/>
  <c r="ON32" i="1"/>
  <c r="ON45" i="1"/>
  <c r="OI73" i="1"/>
  <c r="ON43" i="1"/>
  <c r="OI71" i="1"/>
  <c r="OJ43" i="1"/>
  <c r="OI52" i="1"/>
  <c r="AO7" i="6"/>
  <c r="AP14" i="6"/>
  <c r="BA14" i="6"/>
  <c r="OJ44" i="1"/>
  <c r="OJ53" i="1" s="1"/>
  <c r="OI50" i="1"/>
  <c r="OJ46" i="1"/>
  <c r="OI55" i="1"/>
  <c r="OJ51" i="1"/>
  <c r="BA24" i="6"/>
  <c r="AP24" i="6"/>
  <c r="BJ4" i="6"/>
  <c r="F24" i="6"/>
  <c r="E36" i="6"/>
  <c r="BA36" i="6"/>
  <c r="BB36" i="6" s="1"/>
  <c r="AO39" i="6"/>
  <c r="AP36" i="6"/>
  <c r="E38" i="6"/>
  <c r="F38" i="6" s="1"/>
  <c r="BA38" i="6"/>
  <c r="BB38" i="6" s="1"/>
  <c r="AP38" i="6"/>
  <c r="E28" i="6"/>
  <c r="BA28" i="6"/>
  <c r="BB28" i="6" s="1"/>
  <c r="AO29" i="6"/>
  <c r="AP28" i="6"/>
  <c r="N58" i="6"/>
  <c r="OI34" i="1"/>
  <c r="OI51" i="1"/>
  <c r="BB34" i="6"/>
  <c r="BL6" i="6"/>
  <c r="OJ34" i="1"/>
  <c r="BI5" i="6"/>
  <c r="F19" i="6"/>
  <c r="F34" i="6"/>
  <c r="AM5" i="6"/>
  <c r="AL8" i="6"/>
  <c r="F26" i="6"/>
  <c r="E29" i="6"/>
  <c r="BK4" i="6" s="1"/>
  <c r="ON16" i="1"/>
  <c r="BE19" i="6"/>
  <c r="BE4" i="6"/>
  <c r="BE5" i="6"/>
  <c r="AJ8" i="6"/>
  <c r="I71" i="1"/>
  <c r="I62" i="1"/>
  <c r="I63" i="1" s="1"/>
  <c r="J74" i="1"/>
  <c r="J66" i="1"/>
  <c r="J73" i="1"/>
  <c r="J65" i="1"/>
  <c r="J44" i="1"/>
  <c r="J71" i="1" s="1"/>
  <c r="G71" i="1"/>
  <c r="BE7" i="6"/>
  <c r="AY7" i="6"/>
  <c r="BE6" i="6"/>
  <c r="AY6" i="6"/>
  <c r="F3" i="6"/>
  <c r="AG8" i="6"/>
  <c r="BE3" i="6"/>
  <c r="AY3" i="6"/>
  <c r="F4" i="6"/>
  <c r="BE14" i="6"/>
  <c r="AY14" i="6"/>
  <c r="BS29" i="6" l="1"/>
  <c r="BT29" i="6" s="1"/>
  <c r="BT25" i="6"/>
  <c r="DG25" i="6"/>
  <c r="DR25" i="6"/>
  <c r="DS25" i="6" s="1"/>
  <c r="DF29" i="6"/>
  <c r="DG26" i="6"/>
  <c r="DR26" i="6"/>
  <c r="DS26" i="6" s="1"/>
  <c r="DG10" i="6"/>
  <c r="DR10" i="6"/>
  <c r="BW14" i="6"/>
  <c r="DF14" i="6"/>
  <c r="BW4" i="6"/>
  <c r="DF4" i="6"/>
  <c r="BS4" i="6"/>
  <c r="BT4" i="6" s="1"/>
  <c r="BS14" i="6"/>
  <c r="BT14" i="6" s="1"/>
  <c r="BT10" i="6"/>
  <c r="DR15" i="6"/>
  <c r="DF19" i="6"/>
  <c r="DG15" i="6"/>
  <c r="BS19" i="6"/>
  <c r="BT19" i="6" s="1"/>
  <c r="BT15" i="6"/>
  <c r="DG23" i="6"/>
  <c r="DR23" i="6"/>
  <c r="DF24" i="6"/>
  <c r="BW7" i="6"/>
  <c r="DF7" i="6"/>
  <c r="BS7" i="6"/>
  <c r="BT7" i="6" s="1"/>
  <c r="BT23" i="6"/>
  <c r="BS8" i="6"/>
  <c r="BT8" i="6" s="1"/>
  <c r="BT5" i="6"/>
  <c r="DG5" i="6"/>
  <c r="DR5" i="6"/>
  <c r="BW8" i="6"/>
  <c r="DF8" i="6"/>
  <c r="AP39" i="6"/>
  <c r="BA39" i="6"/>
  <c r="DT34" i="6"/>
  <c r="DS34" i="6"/>
  <c r="F62" i="1"/>
  <c r="F63" i="1" s="1"/>
  <c r="F71" i="1"/>
  <c r="D62" i="1"/>
  <c r="D63" i="1" s="1"/>
  <c r="D71" i="1"/>
  <c r="J64" i="1"/>
  <c r="J72" i="1"/>
  <c r="E62" i="1"/>
  <c r="E63" i="1" s="1"/>
  <c r="E71" i="1"/>
  <c r="M4" i="1"/>
  <c r="L4" i="1" s="1"/>
  <c r="J29" i="1" s="1"/>
  <c r="J22" i="1"/>
  <c r="ON71" i="1"/>
  <c r="ON52" i="1"/>
  <c r="ON34" i="1"/>
  <c r="ON51" i="1"/>
  <c r="ON73" i="1"/>
  <c r="ON54" i="1"/>
  <c r="OJ55" i="1"/>
  <c r="OJ74" i="1"/>
  <c r="OJ52" i="1"/>
  <c r="OJ71" i="1"/>
  <c r="BB14" i="6"/>
  <c r="BH6" i="6"/>
  <c r="OJ45" i="1"/>
  <c r="OI54" i="1"/>
  <c r="AP7" i="6"/>
  <c r="AO8" i="6"/>
  <c r="BA7" i="6"/>
  <c r="BB7" i="6" s="1"/>
  <c r="AP29" i="6"/>
  <c r="BA29" i="6"/>
  <c r="F28" i="6"/>
  <c r="E7" i="6"/>
  <c r="F7" i="6" s="1"/>
  <c r="F36" i="6"/>
  <c r="E39" i="6"/>
  <c r="E5" i="6"/>
  <c r="E8" i="6" s="1"/>
  <c r="BJ6" i="6"/>
  <c r="BB24" i="6"/>
  <c r="F29" i="6"/>
  <c r="AM8" i="6"/>
  <c r="BD8" i="6"/>
  <c r="BF8" i="6" s="1"/>
  <c r="J62" i="1"/>
  <c r="J63" i="1" s="1"/>
  <c r="BE8" i="6"/>
  <c r="AY8" i="6"/>
  <c r="DG19" i="6" l="1"/>
  <c r="DR19" i="6"/>
  <c r="DT15" i="6"/>
  <c r="DS15" i="6"/>
  <c r="DG4" i="6"/>
  <c r="DR4" i="6"/>
  <c r="DG14" i="6"/>
  <c r="DR14" i="6"/>
  <c r="DT10" i="6"/>
  <c r="DS10" i="6"/>
  <c r="DG29" i="6"/>
  <c r="DR29" i="6"/>
  <c r="DS29" i="6" s="1"/>
  <c r="DG7" i="6"/>
  <c r="DR7" i="6"/>
  <c r="DG24" i="6"/>
  <c r="DR24" i="6"/>
  <c r="DT23" i="6"/>
  <c r="DS23" i="6"/>
  <c r="DG8" i="6"/>
  <c r="DR8" i="6"/>
  <c r="DT5" i="6"/>
  <c r="DS5" i="6"/>
  <c r="BM6" i="6"/>
  <c r="BB39" i="6"/>
  <c r="OI68" i="1"/>
  <c r="ON40" i="1"/>
  <c r="OJ54" i="1"/>
  <c r="OJ73" i="1"/>
  <c r="OI49" i="1"/>
  <c r="F8" i="6"/>
  <c r="F5" i="6"/>
  <c r="BM4" i="6"/>
  <c r="F39" i="6"/>
  <c r="BB29" i="6"/>
  <c r="BK6" i="6"/>
  <c r="AP8" i="6"/>
  <c r="BA8" i="6"/>
  <c r="BB8" i="6" s="1"/>
  <c r="DT14" i="6" l="1"/>
  <c r="DS14" i="6"/>
  <c r="DT4" i="6"/>
  <c r="DS4" i="6"/>
  <c r="DT19" i="6"/>
  <c r="DS19" i="6"/>
  <c r="DT24" i="6"/>
  <c r="DS24" i="6"/>
  <c r="DT7" i="6"/>
  <c r="DS7" i="6"/>
  <c r="DT8" i="6"/>
  <c r="DS8" i="6"/>
  <c r="ON68" i="1"/>
  <c r="ON49" i="1"/>
  <c r="OJ49" i="1"/>
  <c r="OJ68" i="1"/>
</calcChain>
</file>

<file path=xl/sharedStrings.xml><?xml version="1.0" encoding="utf-8"?>
<sst xmlns="http://schemas.openxmlformats.org/spreadsheetml/2006/main" count="2134" uniqueCount="391">
  <si>
    <t>Channel</t>
  </si>
  <si>
    <t>Sub Channel</t>
  </si>
  <si>
    <t>MTD - Jan</t>
  </si>
  <si>
    <t>MTD</t>
  </si>
  <si>
    <t>KPI - Nov</t>
  </si>
  <si>
    <t>HMTD</t>
  </si>
  <si>
    <t>HMGPXL</t>
  </si>
  <si>
    <t>HMSG</t>
  </si>
  <si>
    <t>HPH</t>
  </si>
  <si>
    <t>HPEC</t>
  </si>
  <si>
    <t>HMGKD</t>
  </si>
  <si>
    <t>R1</t>
  </si>
  <si>
    <t>% Contribution</t>
  </si>
  <si>
    <t>Total 
Sales</t>
  </si>
  <si>
    <t>Total 
Viện</t>
  </si>
  <si>
    <t>Total</t>
  </si>
  <si>
    <t>Total
KPI</t>
  </si>
  <si>
    <t>% KPI</t>
  </si>
  <si>
    <t>d_revenue</t>
  </si>
  <si>
    <t>Rev. Hospital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</si>
  <si>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</si>
  <si>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</si>
  <si>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</si>
  <si>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</si>
  <si>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</si>
  <si>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</si>
  <si>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</si>
  <si>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</si>
  <si>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</si>
  <si>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</si>
  <si>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</si>
  <si>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</si>
  <si>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2025</t>
  </si>
  <si>
    <t>Q1</t>
  </si>
  <si>
    <t>Q2</t>
  </si>
  <si>
    <t>Q3</t>
  </si>
  <si>
    <t>Q4</t>
  </si>
  <si>
    <t>Total Channel</t>
  </si>
  <si>
    <t>B2B</t>
  </si>
  <si>
    <t>CHC</t>
  </si>
  <si>
    <t>REF</t>
  </si>
  <si>
    <t>B2C</t>
  </si>
  <si>
    <t>Organic</t>
  </si>
  <si>
    <t>Ads</t>
  </si>
  <si>
    <t>PHI</t>
  </si>
  <si>
    <t>KPI - Jan</t>
  </si>
  <si>
    <t>Region 1</t>
  </si>
  <si>
    <t>Rev.</t>
  </si>
  <si>
    <t>% KPI - Jan</t>
  </si>
  <si>
    <t>KPI Viện</t>
  </si>
  <si>
    <t>0</t>
  </si>
  <si>
    <t>164</t>
  </si>
  <si>
    <t>203</t>
  </si>
  <si>
    <t>174</t>
  </si>
  <si>
    <t>69</t>
  </si>
  <si>
    <t>Total Hospitals/Clinics</t>
  </si>
  <si>
    <t>%
Contribution</t>
  </si>
  <si>
    <t xml:space="preserve">Sales Channel </t>
  </si>
  <si>
    <t>% Viện</t>
  </si>
  <si>
    <t> </t>
  </si>
  <si>
    <t>Sale</t>
  </si>
  <si>
    <t xml:space="preserve"> -   </t>
  </si>
  <si>
    <t xml:space="preserve"> </t>
  </si>
  <si>
    <t>Contribution</t>
  </si>
  <si>
    <t>KPI Sale</t>
  </si>
  <si>
    <t>GAP</t>
  </si>
  <si>
    <t>% Sale</t>
  </si>
  <si>
    <t>HMC</t>
  </si>
  <si>
    <t>CHANNEL</t>
  </si>
  <si>
    <t>SUB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</si>
  <si>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</si>
  <si>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</si>
  <si>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</si>
  <si>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</si>
  <si>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</si>
  <si>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</si>
  <si>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</si>
  <si>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</si>
  <si>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</si>
  <si>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</si>
  <si>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</si>
  <si>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</si>
  <si>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YTGO</t>
  </si>
  <si>
    <t>Jan'26</t>
  </si>
  <si>
    <t>Feb'26</t>
  </si>
  <si>
    <t>Mar'26</t>
  </si>
  <si>
    <t>Apr'26</t>
  </si>
  <si>
    <t>May'256</t>
  </si>
  <si>
    <t>Jun'26</t>
  </si>
  <si>
    <t>Jul'26</t>
  </si>
  <si>
    <t>Aug'26</t>
  </si>
  <si>
    <t>Sep'26</t>
  </si>
  <si>
    <t>Oct'26</t>
  </si>
  <si>
    <t>Nov'26</t>
  </si>
  <si>
    <t>Dec'26</t>
  </si>
  <si>
    <t>TARGET</t>
  </si>
  <si>
    <t>Revenue</t>
  </si>
  <si>
    <t>% TARGET</t>
  </si>
  <si>
    <t>Est.</t>
  </si>
  <si>
    <t>REGIONAL 1</t>
  </si>
  <si>
    <t>HMGKĐ</t>
  </si>
  <si>
    <t>sale</t>
  </si>
  <si>
    <t>viện</t>
  </si>
  <si>
    <t>ADS</t>
  </si>
  <si>
    <t>ORGANIC</t>
  </si>
  <si>
    <t>SALES CHANNEL</t>
  </si>
  <si>
    <t>REFERAL</t>
  </si>
  <si>
    <t>Grand Total</t>
  </si>
  <si>
    <t>Package</t>
  </si>
  <si>
    <t>Digital</t>
  </si>
  <si>
    <t>Site</t>
  </si>
  <si>
    <t>Sub</t>
  </si>
  <si>
    <t>Total KPI 
2025</t>
  </si>
  <si>
    <t>HC</t>
  </si>
  <si>
    <t>Pro.</t>
  </si>
  <si>
    <t>Total KPI Sales</t>
  </si>
  <si>
    <t>PAC</t>
  </si>
  <si>
    <t>Per Ads</t>
  </si>
  <si>
    <t>PXL Update</t>
  </si>
  <si>
    <r>
      <t>VND bn</t>
    </r>
    <r>
      <rPr>
        <sz val="10"/>
        <color rgb="FF000000"/>
        <rFont val="Lexend"/>
      </rPr>
      <t>​</t>
    </r>
  </si>
  <si>
    <r>
      <t>Jul</t>
    </r>
    <r>
      <rPr>
        <sz val="10"/>
        <color rgb="FF000000"/>
        <rFont val="Lexend"/>
      </rPr>
      <t>​</t>
    </r>
  </si>
  <si>
    <r>
      <t>Aug</t>
    </r>
    <r>
      <rPr>
        <sz val="10"/>
        <color rgb="FF000000"/>
        <rFont val="Lexend"/>
      </rPr>
      <t>​</t>
    </r>
  </si>
  <si>
    <r>
      <t>Sep</t>
    </r>
    <r>
      <rPr>
        <sz val="10"/>
        <color rgb="FF000000"/>
        <rFont val="Lexend"/>
      </rPr>
      <t>​</t>
    </r>
  </si>
  <si>
    <r>
      <t>Oct</t>
    </r>
    <r>
      <rPr>
        <sz val="10"/>
        <color rgb="FF000000"/>
        <rFont val="Lexend"/>
      </rPr>
      <t>​</t>
    </r>
  </si>
  <si>
    <r>
      <t>Nov</t>
    </r>
    <r>
      <rPr>
        <sz val="10"/>
        <color rgb="FF000000"/>
        <rFont val="Lexend"/>
      </rPr>
      <t>​</t>
    </r>
  </si>
  <si>
    <r>
      <t>Dec</t>
    </r>
    <r>
      <rPr>
        <sz val="10"/>
        <color rgb="FF000000"/>
        <rFont val="Lexend"/>
      </rPr>
      <t>​</t>
    </r>
  </si>
  <si>
    <r>
      <t>Total</t>
    </r>
    <r>
      <rPr>
        <sz val="10"/>
        <color rgb="FF000000"/>
        <rFont val="Lexend"/>
      </rPr>
      <t>​</t>
    </r>
  </si>
  <si>
    <r>
      <t>Rev B2C Jul-Dec</t>
    </r>
    <r>
      <rPr>
        <sz val="11"/>
        <color rgb="FF000000"/>
        <rFont val="Arial"/>
        <family val="2"/>
      </rPr>
      <t>​</t>
    </r>
  </si>
  <si>
    <r>
      <t>4,0</t>
    </r>
    <r>
      <rPr>
        <sz val="11"/>
        <color rgb="FF000000"/>
        <rFont val="Arial"/>
        <family val="2"/>
      </rPr>
      <t>​</t>
    </r>
  </si>
  <si>
    <r>
      <t>4,2</t>
    </r>
    <r>
      <rPr>
        <sz val="11"/>
        <color rgb="FF000000"/>
        <rFont val="Arial"/>
        <family val="2"/>
      </rPr>
      <t>​</t>
    </r>
  </si>
  <si>
    <r>
      <t>4,5</t>
    </r>
    <r>
      <rPr>
        <sz val="11"/>
        <color rgb="FF000000"/>
        <rFont val="Arial"/>
        <family val="2"/>
      </rPr>
      <t>​</t>
    </r>
  </si>
  <si>
    <r>
      <t>5,5</t>
    </r>
    <r>
      <rPr>
        <sz val="11"/>
        <color rgb="FF000000"/>
        <rFont val="Arial"/>
        <family val="2"/>
      </rPr>
      <t>​</t>
    </r>
  </si>
  <si>
    <r>
      <t>5,0</t>
    </r>
    <r>
      <rPr>
        <sz val="11"/>
        <color rgb="FF000000"/>
        <rFont val="Arial"/>
        <family val="2"/>
      </rPr>
      <t>​</t>
    </r>
  </si>
  <si>
    <r>
      <t>28,7</t>
    </r>
    <r>
      <rPr>
        <sz val="11"/>
        <color rgb="FF000000"/>
        <rFont val="Arial"/>
        <family val="2"/>
      </rPr>
      <t>​</t>
    </r>
  </si>
  <si>
    <r>
      <t>Volume</t>
    </r>
    <r>
      <rPr>
        <sz val="11"/>
        <color rgb="FF000000"/>
        <rFont val="Arial"/>
        <family val="2"/>
      </rPr>
      <t>​</t>
    </r>
  </si>
  <si>
    <r>
      <t>400</t>
    </r>
    <r>
      <rPr>
        <sz val="11"/>
        <color rgb="FF000000"/>
        <rFont val="Arial"/>
        <family val="2"/>
      </rPr>
      <t>​</t>
    </r>
  </si>
  <si>
    <r>
      <t>420</t>
    </r>
    <r>
      <rPr>
        <sz val="11"/>
        <color rgb="FF000000"/>
        <rFont val="Arial"/>
        <family val="2"/>
      </rPr>
      <t>​</t>
    </r>
  </si>
  <si>
    <r>
      <t>450</t>
    </r>
    <r>
      <rPr>
        <sz val="11"/>
        <color rgb="FF000000"/>
        <rFont val="Arial"/>
        <family val="2"/>
      </rPr>
      <t>​</t>
    </r>
  </si>
  <si>
    <r>
      <t>550</t>
    </r>
    <r>
      <rPr>
        <sz val="11"/>
        <color rgb="FF000000"/>
        <rFont val="Arial"/>
        <family val="2"/>
      </rPr>
      <t>​</t>
    </r>
  </si>
  <si>
    <r>
      <t>500</t>
    </r>
    <r>
      <rPr>
        <sz val="11"/>
        <color rgb="FF000000"/>
        <rFont val="Arial"/>
        <family val="2"/>
      </rPr>
      <t>​</t>
    </r>
  </si>
  <si>
    <r>
      <t>2.870</t>
    </r>
    <r>
      <rPr>
        <sz val="11"/>
        <color rgb="FF000000"/>
        <rFont val="Arial"/>
        <family val="2"/>
      </rPr>
      <t>​</t>
    </r>
  </si>
  <si>
    <r>
      <t>Avg Vol per day</t>
    </r>
    <r>
      <rPr>
        <sz val="11"/>
        <color rgb="FF000000"/>
        <rFont val="Arial"/>
        <family val="2"/>
      </rPr>
      <t>​</t>
    </r>
  </si>
  <si>
    <r>
      <t>15</t>
    </r>
    <r>
      <rPr>
        <sz val="11"/>
        <color rgb="FF000000"/>
        <rFont val="Arial"/>
        <family val="2"/>
      </rPr>
      <t>​</t>
    </r>
  </si>
  <si>
    <r>
      <t>16</t>
    </r>
    <r>
      <rPr>
        <sz val="11"/>
        <color rgb="FF000000"/>
        <rFont val="Arial"/>
        <family val="2"/>
      </rPr>
      <t>​</t>
    </r>
  </si>
  <si>
    <r>
      <t>17</t>
    </r>
    <r>
      <rPr>
        <sz val="11"/>
        <color rgb="FF000000"/>
        <rFont val="Arial"/>
        <family val="2"/>
      </rPr>
      <t>​</t>
    </r>
  </si>
  <si>
    <r>
      <t>21</t>
    </r>
    <r>
      <rPr>
        <sz val="11"/>
        <color rgb="FF000000"/>
        <rFont val="Arial"/>
        <family val="2"/>
      </rPr>
      <t>​</t>
    </r>
  </si>
  <si>
    <r>
      <t>19</t>
    </r>
    <r>
      <rPr>
        <sz val="11"/>
        <color rgb="FF000000"/>
        <rFont val="Arial"/>
        <family val="2"/>
      </rPr>
      <t>​</t>
    </r>
  </si>
  <si>
    <r>
      <t>110</t>
    </r>
    <r>
      <rPr>
        <sz val="11"/>
        <color rgb="FF000000"/>
        <rFont val="Arial"/>
        <family val="2"/>
      </rPr>
      <t>​</t>
    </r>
  </si>
  <si>
    <r>
      <t>Avg Billsize</t>
    </r>
    <r>
      <rPr>
        <sz val="11"/>
        <color rgb="FF000000"/>
        <rFont val="Arial"/>
        <family val="2"/>
      </rPr>
      <t>​</t>
    </r>
  </si>
  <si>
    <r>
      <t>0,010</t>
    </r>
    <r>
      <rPr>
        <sz val="11"/>
        <color rgb="FF000000"/>
        <rFont val="Arial"/>
        <family val="2"/>
      </rPr>
      <t>​</t>
    </r>
  </si>
  <si>
    <r>
      <t>0,06</t>
    </r>
    <r>
      <rPr>
        <sz val="11"/>
        <color rgb="FF000000"/>
        <rFont val="Arial"/>
        <family val="2"/>
      </rPr>
      <t>​</t>
    </r>
  </si>
  <si>
    <r>
      <t>PHC + upsale</t>
    </r>
    <r>
      <rPr>
        <sz val="11"/>
        <color rgb="FF000000"/>
        <rFont val="Arial"/>
        <family val="2"/>
      </rPr>
      <t>​</t>
    </r>
  </si>
  <si>
    <r>
      <t>3,3</t>
    </r>
    <r>
      <rPr>
        <sz val="11"/>
        <color rgb="FF000000"/>
        <rFont val="Arial"/>
        <family val="2"/>
      </rPr>
      <t>​</t>
    </r>
  </si>
  <si>
    <r>
      <t>3,4</t>
    </r>
    <r>
      <rPr>
        <sz val="11"/>
        <color rgb="FF000000"/>
        <rFont val="Arial"/>
        <family val="2"/>
      </rPr>
      <t>​</t>
    </r>
  </si>
  <si>
    <r>
      <t>3,6</t>
    </r>
    <r>
      <rPr>
        <sz val="11"/>
        <color rgb="FF000000"/>
        <rFont val="Arial"/>
        <family val="2"/>
      </rPr>
      <t>​</t>
    </r>
  </si>
  <si>
    <r>
      <t>4,4</t>
    </r>
    <r>
      <rPr>
        <sz val="11"/>
        <color rgb="FF000000"/>
        <rFont val="Arial"/>
        <family val="2"/>
      </rPr>
      <t>​</t>
    </r>
  </si>
  <si>
    <r>
      <t>3,9</t>
    </r>
    <r>
      <rPr>
        <sz val="11"/>
        <color rgb="FF000000"/>
        <rFont val="Arial"/>
        <family val="2"/>
      </rPr>
      <t>​</t>
    </r>
  </si>
  <si>
    <r>
      <t>3,5</t>
    </r>
    <r>
      <rPr>
        <sz val="11"/>
        <color rgb="FF000000"/>
        <rFont val="Arial"/>
        <family val="2"/>
      </rPr>
      <t>​</t>
    </r>
  </si>
  <si>
    <r>
      <t>22,1</t>
    </r>
    <r>
      <rPr>
        <sz val="11"/>
        <color rgb="FF000000"/>
        <rFont val="Arial"/>
        <family val="2"/>
      </rPr>
      <t>​</t>
    </r>
  </si>
  <si>
    <r>
      <t>Digital</t>
    </r>
    <r>
      <rPr>
        <sz val="11"/>
        <color rgb="FF000000"/>
        <rFont val="Arial"/>
        <family val="2"/>
      </rPr>
      <t>​</t>
    </r>
  </si>
  <si>
    <r>
      <t>0,7</t>
    </r>
    <r>
      <rPr>
        <sz val="11"/>
        <color rgb="FF000000"/>
        <rFont val="Arial"/>
        <family val="2"/>
      </rPr>
      <t>​</t>
    </r>
  </si>
  <si>
    <r>
      <t>0,8</t>
    </r>
    <r>
      <rPr>
        <sz val="11"/>
        <color rgb="FF000000"/>
        <rFont val="Arial"/>
        <family val="2"/>
      </rPr>
      <t>​</t>
    </r>
  </si>
  <si>
    <r>
      <t>0,9</t>
    </r>
    <r>
      <rPr>
        <sz val="11"/>
        <color rgb="FF000000"/>
        <rFont val="Arial"/>
        <family val="2"/>
      </rPr>
      <t>​</t>
    </r>
  </si>
  <si>
    <r>
      <t>1,1</t>
    </r>
    <r>
      <rPr>
        <sz val="11"/>
        <color rgb="FF000000"/>
        <rFont val="Arial"/>
        <family val="2"/>
      </rPr>
      <t>​</t>
    </r>
  </si>
  <si>
    <r>
      <t>1,7</t>
    </r>
    <r>
      <rPr>
        <sz val="11"/>
        <color rgb="FF000000"/>
        <rFont val="Arial"/>
        <family val="2"/>
      </rPr>
      <t>​</t>
    </r>
  </si>
  <si>
    <r>
      <t>1,5</t>
    </r>
    <r>
      <rPr>
        <sz val="11"/>
        <color rgb="FF000000"/>
        <rFont val="Arial"/>
        <family val="2"/>
      </rPr>
      <t>​</t>
    </r>
  </si>
  <si>
    <r>
      <t>6,6</t>
    </r>
    <r>
      <rPr>
        <sz val="11"/>
        <color rgb="FF000000"/>
        <rFont val="Arial"/>
        <family val="2"/>
      </rPr>
      <t>​</t>
    </r>
  </si>
  <si>
    <t>​</t>
  </si>
  <si>
    <r>
      <t>328</t>
    </r>
    <r>
      <rPr>
        <sz val="11"/>
        <color rgb="FF000000"/>
        <rFont val="Arial"/>
        <family val="2"/>
      </rPr>
      <t>​</t>
    </r>
  </si>
  <si>
    <r>
      <t>344</t>
    </r>
    <r>
      <rPr>
        <sz val="11"/>
        <color rgb="FF000000"/>
        <rFont val="Arial"/>
        <family val="2"/>
      </rPr>
      <t>​</t>
    </r>
  </si>
  <si>
    <r>
      <t>360</t>
    </r>
    <r>
      <rPr>
        <sz val="11"/>
        <color rgb="FF000000"/>
        <rFont val="Arial"/>
        <family val="2"/>
      </rPr>
      <t>​</t>
    </r>
  </si>
  <si>
    <r>
      <t>440</t>
    </r>
    <r>
      <rPr>
        <sz val="11"/>
        <color rgb="FF000000"/>
        <rFont val="Arial"/>
        <family val="2"/>
      </rPr>
      <t>​</t>
    </r>
  </si>
  <si>
    <r>
      <t>385</t>
    </r>
    <r>
      <rPr>
        <sz val="11"/>
        <color rgb="FF000000"/>
        <rFont val="Arial"/>
        <family val="2"/>
      </rPr>
      <t>​</t>
    </r>
  </si>
  <si>
    <r>
      <t>350</t>
    </r>
    <r>
      <rPr>
        <sz val="11"/>
        <color rgb="FF000000"/>
        <rFont val="Arial"/>
        <family val="2"/>
      </rPr>
      <t>​</t>
    </r>
  </si>
  <si>
    <r>
      <t>2.207</t>
    </r>
    <r>
      <rPr>
        <sz val="11"/>
        <color rgb="FF000000"/>
        <rFont val="Arial"/>
        <family val="2"/>
      </rPr>
      <t>​</t>
    </r>
  </si>
  <si>
    <r>
      <t>13</t>
    </r>
    <r>
      <rPr>
        <sz val="11"/>
        <color rgb="FF000000"/>
        <rFont val="Arial"/>
        <family val="2"/>
      </rPr>
      <t>​</t>
    </r>
  </si>
  <si>
    <r>
      <t>14</t>
    </r>
    <r>
      <rPr>
        <sz val="11"/>
        <color rgb="FF000000"/>
        <rFont val="Arial"/>
        <family val="2"/>
      </rPr>
      <t>​</t>
    </r>
  </si>
  <si>
    <r>
      <t>85</t>
    </r>
    <r>
      <rPr>
        <sz val="11"/>
        <color rgb="FF000000"/>
        <rFont val="Arial"/>
        <family val="2"/>
      </rPr>
      <t>​</t>
    </r>
  </si>
  <si>
    <r>
      <t>Rev Jul-Dec</t>
    </r>
    <r>
      <rPr>
        <sz val="11"/>
        <color rgb="FF000000"/>
        <rFont val="Arial"/>
        <family val="2"/>
      </rPr>
      <t>​</t>
    </r>
  </si>
  <si>
    <r>
      <t>72</t>
    </r>
    <r>
      <rPr>
        <sz val="11"/>
        <color rgb="FF000000"/>
        <rFont val="Arial"/>
        <family val="2"/>
      </rPr>
      <t>​</t>
    </r>
  </si>
  <si>
    <r>
      <t>76</t>
    </r>
    <r>
      <rPr>
        <sz val="11"/>
        <color rgb="FF000000"/>
        <rFont val="Arial"/>
        <family val="2"/>
      </rPr>
      <t>​</t>
    </r>
  </si>
  <si>
    <r>
      <t>90</t>
    </r>
    <r>
      <rPr>
        <sz val="11"/>
        <color rgb="FF000000"/>
        <rFont val="Arial"/>
        <family val="2"/>
      </rPr>
      <t>​</t>
    </r>
  </si>
  <si>
    <r>
      <t>165</t>
    </r>
    <r>
      <rPr>
        <sz val="11"/>
        <color rgb="FF000000"/>
        <rFont val="Arial"/>
        <family val="2"/>
      </rPr>
      <t>​</t>
    </r>
  </si>
  <si>
    <r>
      <t>150</t>
    </r>
    <r>
      <rPr>
        <sz val="11"/>
        <color rgb="FF000000"/>
        <rFont val="Arial"/>
        <family val="2"/>
      </rPr>
      <t>​</t>
    </r>
  </si>
  <si>
    <r>
      <t>663</t>
    </r>
    <r>
      <rPr>
        <sz val="11"/>
        <color rgb="FF000000"/>
        <rFont val="Arial"/>
        <family val="2"/>
      </rPr>
      <t>​</t>
    </r>
  </si>
  <si>
    <r>
      <t>3</t>
    </r>
    <r>
      <rPr>
        <sz val="11"/>
        <color rgb="FF000000"/>
        <rFont val="Arial"/>
        <family val="2"/>
      </rPr>
      <t>​</t>
    </r>
  </si>
  <si>
    <r>
      <t>4</t>
    </r>
    <r>
      <rPr>
        <sz val="11"/>
        <color rgb="FF000000"/>
        <rFont val="Arial"/>
        <family val="2"/>
      </rPr>
      <t>​</t>
    </r>
  </si>
  <si>
    <r>
      <t>6</t>
    </r>
    <r>
      <rPr>
        <sz val="11"/>
        <color rgb="FF000000"/>
        <rFont val="Arial"/>
        <family val="2"/>
      </rPr>
      <t>​</t>
    </r>
  </si>
  <si>
    <r>
      <t>25</t>
    </r>
    <r>
      <rPr>
        <sz val="11"/>
        <color rgb="FF000000"/>
        <rFont val="Arial"/>
        <family val="2"/>
      </rPr>
      <t>​</t>
    </r>
  </si>
  <si>
    <t>Rev Jul-Dec</t>
  </si>
  <si>
    <t>6,6</t>
  </si>
  <si>
    <t>Old</t>
  </si>
  <si>
    <t>Update in Red if core specialty "CHANGED" during AOP meeting: NEED TO SEEK DR TUAN'S ADVICE</t>
  </si>
  <si>
    <t>Hospitals / Clinics</t>
  </si>
  <si>
    <t>Specialty 1</t>
  </si>
  <si>
    <t>Specialty 2</t>
  </si>
  <si>
    <t>Specialty 3</t>
  </si>
  <si>
    <t>Specialty 4</t>
  </si>
  <si>
    <t>Specialty 5</t>
  </si>
  <si>
    <t>Specialty 6</t>
  </si>
  <si>
    <t>Cardiac Sciences</t>
  </si>
  <si>
    <t>Gastro Sciences</t>
  </si>
  <si>
    <t>Musculo-Skeletal</t>
  </si>
  <si>
    <t>Oncology</t>
  </si>
  <si>
    <t>Neuro Surgery</t>
  </si>
  <si>
    <t>VIC + ASC + Plastic &amp; Reconstructive surgery</t>
  </si>
  <si>
    <t>Bỏ chuyên khoa tô đỏ</t>
  </si>
  <si>
    <t>Endocrinology</t>
  </si>
  <si>
    <t>General Internal Medicine</t>
  </si>
  <si>
    <t>Phaco</t>
  </si>
  <si>
    <t>Lasik</t>
  </si>
  <si>
    <t>Retinopathy</t>
  </si>
  <si>
    <t>Glaucoma</t>
  </si>
  <si>
    <t>Diabetes</t>
  </si>
  <si>
    <t>màu đỏ: chưa chốt được</t>
  </si>
  <si>
    <t>O&amp;G</t>
  </si>
  <si>
    <t>Nephrology &amp; Urology</t>
  </si>
  <si>
    <t>Neuro Sciences</t>
  </si>
  <si>
    <r>
      <t>IVF,</t>
    </r>
    <r>
      <rPr>
        <sz val="11"/>
        <color theme="1"/>
        <rFont val="Lexend Light"/>
      </rPr>
      <t xml:space="preserve"> Oncology</t>
    </r>
  </si>
  <si>
    <t>HPIH</t>
  </si>
  <si>
    <t>IVF</t>
  </si>
  <si>
    <t>Pediatrics</t>
  </si>
  <si>
    <t>Region</t>
  </si>
  <si>
    <t>Unit: VND bn</t>
  </si>
  <si>
    <t>FY'25</t>
  </si>
  <si>
    <t>2025
 Sales</t>
  </si>
  <si>
    <t>% Contributon</t>
  </si>
  <si>
    <t>Operating_unit</t>
  </si>
  <si>
    <t xml:space="preserve">Sale </t>
  </si>
  <si>
    <t>Danh sách nhân viên Sale Vùng 1</t>
  </si>
  <si>
    <t>KPI 2025</t>
  </si>
  <si>
    <t>No.</t>
  </si>
  <si>
    <t>Department</t>
  </si>
  <si>
    <t>Name</t>
  </si>
  <si>
    <t>Position</t>
  </si>
  <si>
    <t>Role</t>
  </si>
  <si>
    <t xml:space="preserve">Đặng Phúc Hòa </t>
  </si>
  <si>
    <t>Sales Staff</t>
  </si>
  <si>
    <t>Referral</t>
  </si>
  <si>
    <t xml:space="preserve">Đặng Nguyễn Thiên Phúc </t>
  </si>
  <si>
    <t xml:space="preserve">Trần Thị Ánh Thư   </t>
  </si>
  <si>
    <t>Đỗ Thúy Quỳnh</t>
  </si>
  <si>
    <t>Nguyễn Thái Ngọc</t>
  </si>
  <si>
    <t>Lê Thị Trúc Quỳnh</t>
  </si>
  <si>
    <t>Lê Thị Đậm</t>
  </si>
  <si>
    <t>Sale B2C Team Leader</t>
  </si>
  <si>
    <t>Phan Ngọc Triệu</t>
  </si>
  <si>
    <t>Nguyễn Huy Sang</t>
  </si>
  <si>
    <t>Bùi Việt Vương</t>
  </si>
  <si>
    <t>Vũ Nguyễn Thu Ngân</t>
  </si>
  <si>
    <t>Nguyễn Trọng Khương</t>
  </si>
  <si>
    <t>Sales Referral Team Leader</t>
  </si>
  <si>
    <t>Lê Thị Mỹ</t>
  </si>
  <si>
    <t>Trần Mỹ Tiên</t>
  </si>
  <si>
    <t>Phan Văn Đạt</t>
  </si>
  <si>
    <t>Sales CHC Team Leader</t>
  </si>
  <si>
    <t>Nguyễn Sơn Tùng</t>
  </si>
  <si>
    <t>Dương Thanh Vương</t>
  </si>
  <si>
    <t>Mai Lê Bảo Trâm</t>
  </si>
  <si>
    <t>Nguyễn Thị Xuân Trang</t>
  </si>
  <si>
    <t>Trần Thị Khanh</t>
  </si>
  <si>
    <t>Lê Thị Thúy Hồng</t>
  </si>
  <si>
    <t>Bùi Thị Như Quỳnh</t>
  </si>
  <si>
    <t>Phạm Thị Thanh Thùy</t>
  </si>
  <si>
    <t>Nguyễn Thị Diễm Trúc</t>
  </si>
  <si>
    <t>Ngô Thị Lan Anh</t>
  </si>
  <si>
    <t>Trần Thị Phương Phi</t>
  </si>
  <si>
    <t>Nguyễn Đình Quốc</t>
  </si>
  <si>
    <t>Phùng Vĩnh Phúc</t>
  </si>
  <si>
    <t>OperatingUnit</t>
  </si>
  <si>
    <t>SubChannel</t>
  </si>
  <si>
    <t>Rev</t>
  </si>
  <si>
    <t>DIGITAL</t>
  </si>
  <si>
    <t>PACKAGE</t>
  </si>
  <si>
    <t>Detail</t>
  </si>
  <si>
    <t>Email</t>
  </si>
  <si>
    <t>Phone</t>
  </si>
  <si>
    <t>Hoàng Văn Toàn</t>
  </si>
  <si>
    <t>Sales Manager</t>
  </si>
  <si>
    <t>toan.hoang@hanhphuchospital.com</t>
  </si>
  <si>
    <t>hoa.dang1@hanhphuchospital.com</t>
  </si>
  <si>
    <t>.0963.984.439</t>
  </si>
  <si>
    <t>thu.tran@hanhphuchospital.com</t>
  </si>
  <si>
    <t>.0828.524.168</t>
  </si>
  <si>
    <t>phuc.dang@hanhphuchospital.com</t>
  </si>
  <si>
    <t>.0948.570.776</t>
  </si>
  <si>
    <t>Trịnh Nguyễn Thanh Nhàn</t>
  </si>
  <si>
    <t>ngan.duong@hanhphuchospital.com</t>
  </si>
  <si>
    <t>.0364.199.342</t>
  </si>
  <si>
    <t>Dương Kim Ngân</t>
  </si>
  <si>
    <t>nhan.trinh@hanhphuchospital.com</t>
  </si>
  <si>
    <t>.0783.594.685</t>
  </si>
  <si>
    <t>Vaccancy</t>
  </si>
  <si>
    <t>Nguyễn Hoàng Minh Nhật</t>
  </si>
  <si>
    <t>nhat.nguyen1@hanhphuchospital.com</t>
  </si>
  <si>
    <t>.0772.756.543</t>
  </si>
  <si>
    <t>Trần Minh Mẫn</t>
  </si>
  <si>
    <t>Marketing</t>
  </si>
  <si>
    <t>Marketing Manager</t>
  </si>
  <si>
    <t>Nguyễn Trúc Nhã Uyên</t>
  </si>
  <si>
    <t>Marketing Executive</t>
  </si>
  <si>
    <t>(digital + content)</t>
  </si>
  <si>
    <t>Lê Duy Nhân</t>
  </si>
  <si>
    <t>(Event + Partnership)</t>
  </si>
  <si>
    <t>Vũ Thành Luân</t>
  </si>
  <si>
    <t>(Design)</t>
  </si>
  <si>
    <t>Phạm Nguyễn Hữu Đạt</t>
  </si>
  <si>
    <t>Sales &amp; Marketing</t>
  </si>
  <si>
    <t>S&amp;M Manager</t>
  </si>
  <si>
    <t>S&amp;M</t>
  </si>
  <si>
    <t>Nguyễn Khánh Huyền</t>
  </si>
  <si>
    <t>B2C Teamleader</t>
  </si>
  <si>
    <t>Referral Suppervisor</t>
  </si>
  <si>
    <t>CHC Suppervisor</t>
  </si>
  <si>
    <t>Lê Vũ Thảo Vy</t>
  </si>
  <si>
    <t>Marketing Suppervisor</t>
  </si>
  <si>
    <t>Marketing+ Digital</t>
  </si>
  <si>
    <t>Trần Ngọc Thảo Ngân</t>
  </si>
  <si>
    <t>Content+ Event</t>
  </si>
  <si>
    <t>Mã Trường Đô</t>
  </si>
  <si>
    <t>Graphic Design</t>
  </si>
  <si>
    <t>Trần Phùng Thảo Vi</t>
  </si>
  <si>
    <t>Video Editor+ Event</t>
  </si>
  <si>
    <t>Trần Hoàng Luân</t>
  </si>
  <si>
    <t>Sales manager</t>
  </si>
  <si>
    <t>luan.tran@hoanmy.com</t>
  </si>
  <si>
    <t>vuong.duong@hoanmy.com</t>
  </si>
  <si>
    <t>0935 419 477</t>
  </si>
  <si>
    <t>tram.mai@hoanmy.com</t>
  </si>
  <si>
    <t>0844 607 881</t>
  </si>
  <si>
    <t>trang.nguyen9@hoanmy.com</t>
  </si>
  <si>
    <t>0902 800 188</t>
  </si>
  <si>
    <t>Võ Nguyễn Thiện Hoàng</t>
  </si>
  <si>
    <t>hoang.vo4@hoanmy.com</t>
  </si>
  <si>
    <t>0918 329 362</t>
  </si>
  <si>
    <t>Lương Thành Đạt</t>
  </si>
  <si>
    <t>dat.luong@hoanmy.com</t>
  </si>
  <si>
    <t>0945 894 188</t>
  </si>
  <si>
    <t>khanh.tran@hoanmy.com</t>
  </si>
  <si>
    <t>hong.le@hoanmy.com</t>
  </si>
  <si>
    <t>0987 436 813</t>
  </si>
  <si>
    <t>quynh.bui@hoanmy.com</t>
  </si>
  <si>
    <t>0938 988 138</t>
  </si>
  <si>
    <t>thuy.pham@hoanmy.com</t>
  </si>
  <si>
    <t>0979 008 923</t>
  </si>
  <si>
    <t>PHC</t>
  </si>
  <si>
    <t>truc.nguyen3@hoanmy.com</t>
  </si>
  <si>
    <t>0969 373 402</t>
  </si>
  <si>
    <t>anh.ngo@hoanmy.com</t>
  </si>
  <si>
    <t>0937 505 500</t>
  </si>
  <si>
    <t>Sale Admin</t>
  </si>
  <si>
    <t>quoc.nguyen3@hoanmy.com</t>
  </si>
  <si>
    <t>0333 533 194</t>
  </si>
  <si>
    <t>SHI - PHI</t>
  </si>
  <si>
    <t>Phạm Thị Linh</t>
  </si>
  <si>
    <t>Marketing manager</t>
  </si>
  <si>
    <t>linh.pham8@hoanmy.com</t>
  </si>
  <si>
    <t>Nguyễn Minh Trí</t>
  </si>
  <si>
    <t>Marketing executive</t>
  </si>
  <si>
    <t>Marketing Executive (Digital) &amp; Content Specialist</t>
  </si>
  <si>
    <t>Digital
Neurology, Cardiac, ENT, Nutrition &amp; Dietetics</t>
  </si>
  <si>
    <t>tri.nguyen5@hoanmy.com</t>
  </si>
  <si>
    <t>Bùi Nhật Tiên</t>
  </si>
  <si>
    <t>Content &amp; Chat Box</t>
  </si>
  <si>
    <t>Trauma &amp; Ortho, General Internal Medicine, Haematology</t>
  </si>
  <si>
    <t>tien.bui@hoanmy.com</t>
  </si>
  <si>
    <t>Lê Hoàng Thảo Ngọc</t>
  </si>
  <si>
    <t>PR, Branding, Content pecialist</t>
  </si>
  <si>
    <t>ER, Endocrinology, Pharmacy, Quality control</t>
  </si>
  <si>
    <t>ngoc.le1@hoanmy.com</t>
  </si>
  <si>
    <t>Phan Thị Nhật Lợi</t>
  </si>
  <si>
    <t>Event &amp; Content pecialist</t>
  </si>
  <si>
    <t>Gastro &amp; Endoscopy, Onco, Lab, imaging Diagnostic</t>
  </si>
  <si>
    <t>loi.phan@hoanmy.com</t>
  </si>
  <si>
    <t>Nguyễn Ngọc Diệu Hương</t>
  </si>
  <si>
    <t>O&amp;G, Pediatric, ICU, Anesthesiology, Disinfection control</t>
  </si>
  <si>
    <t>Huong.nguyen24@hoanmy.com</t>
  </si>
  <si>
    <t>Nguyễn Thị Thiên Kim</t>
  </si>
  <si>
    <t>kim.nguyen1@hoanmy.com</t>
  </si>
  <si>
    <t>Thái Gia Bảo</t>
  </si>
  <si>
    <t>Multimedia &amp; Designer</t>
  </si>
  <si>
    <t>Video filming &amp; Editor</t>
  </si>
  <si>
    <t>bao.thai@hoanmy.com</t>
  </si>
  <si>
    <t>Trần Đình Thanh Cao</t>
  </si>
  <si>
    <t>Grapphic Designer</t>
  </si>
  <si>
    <t>Grapphic Design, Photo shoot</t>
  </si>
  <si>
    <t>cao.tran1@hoanmy.com</t>
  </si>
  <si>
    <t>Dương Duy Phương</t>
  </si>
  <si>
    <t>Trần Bích Vy</t>
  </si>
  <si>
    <t>Nguyễn Lê Thanh Tâm</t>
  </si>
  <si>
    <t>Nguyễn Đình Khiếu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</si>
</sst>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#,##0.0"/>
    <numFmt numFmtId="169" formatCode="_(* #,##0_);_(* \(#,##0\);_(* \-??_);_(@_)"/>
    <numFmt numFmtId="170" formatCode="_(* #,##0.0_);_(* \(#,##0.0\);_(* &quot;-&quot;?_);_(@_)"/>
    <numFmt numFmtId="171" formatCode="0.0"/>
  </numFmts>
  <fonts count="8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0"/>
      <color rgb="FF000000"/>
      <name val="Arial"/>
      <charset val="134"/>
      <scheme val="minor"/>
    </font>
    <font>
      <sz val="10"/>
      <color rgb="FF000000"/>
      <name val="Segoe UI"/>
      <family val="2"/>
    </font>
    <font>
      <sz val="11"/>
      <color rgb="FFFF0000"/>
      <name val="Arial"/>
      <family val="2"/>
      <scheme val="minor"/>
    </font>
    <font>
      <b/>
      <sz val="14"/>
      <color rgb="FF006991"/>
      <name val="Arial"/>
      <family val="2"/>
      <scheme val="minor"/>
    </font>
    <font>
      <sz val="12"/>
      <color rgb="FF4D4D4D"/>
      <name val="Lexend Medium"/>
    </font>
    <font>
      <b/>
      <sz val="11"/>
      <color rgb="FF4D4D4D"/>
      <name val="Lexend Light"/>
    </font>
    <font>
      <sz val="11"/>
      <color rgb="FF404040"/>
      <name val="Lexend Light"/>
    </font>
    <font>
      <strike/>
      <sz val="11"/>
      <color rgb="FFFF0000"/>
      <name val="Lexend Light"/>
    </font>
    <font>
      <sz val="11"/>
      <color rgb="FFFF0000"/>
      <name val="Lexend Light"/>
    </font>
    <font>
      <sz val="11"/>
      <color rgb="FFFF0000"/>
      <name val="Lexend"/>
    </font>
    <font>
      <sz val="11"/>
      <color theme="1"/>
      <name val="Lexend Light"/>
    </font>
    <font>
      <sz val="11"/>
      <color theme="1"/>
      <name val="Arial"/>
      <family val="2"/>
      <charset val="1"/>
      <scheme val="minor"/>
    </font>
    <font>
      <sz val="11"/>
      <color rgb="FF006100"/>
      <name val="Arial"/>
      <family val="2"/>
      <charset val="1"/>
      <scheme val="minor"/>
    </font>
    <font>
      <sz val="11"/>
      <color rgb="FF9C0006"/>
      <name val="Arial"/>
      <family val="2"/>
      <charset val="1"/>
      <scheme val="minor"/>
    </font>
    <font>
      <sz val="11"/>
      <color rgb="FF9C6500"/>
      <name val="Arial"/>
      <family val="2"/>
      <charset val="1"/>
      <scheme val="minor"/>
    </font>
    <font>
      <sz val="11"/>
      <color theme="0"/>
      <name val="Arial"/>
      <family val="2"/>
      <charset val="1"/>
      <scheme val="minor"/>
    </font>
    <font>
      <b/>
      <sz val="10"/>
      <color theme="0"/>
      <name val="Times New Roman"/>
      <family val="2"/>
      <scheme val="major"/>
    </font>
    <font>
      <sz val="10"/>
      <color rgb="FF404040"/>
      <name val="Times New Roman"/>
      <family val="2"/>
      <scheme val="major"/>
    </font>
    <font>
      <sz val="10"/>
      <color theme="6"/>
      <name val="Times New Roman"/>
      <family val="2"/>
      <scheme val="major"/>
    </font>
    <font>
      <sz val="10"/>
      <color theme="1"/>
      <name val="Times New Roman"/>
      <family val="2"/>
      <scheme val="maj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2" tint="-9.9978637043366805E-2"/>
      <name val="Arial"/>
      <family val="2"/>
      <scheme val="minor"/>
    </font>
    <font>
      <sz val="11"/>
      <color rgb="FF808080"/>
      <name val="Calibri"/>
      <family val="2"/>
    </font>
    <font>
      <b/>
      <sz val="11"/>
      <color rgb="FFFFFFFF"/>
      <name val="Calibri"/>
      <family val="2"/>
    </font>
    <font>
      <sz val="11"/>
      <color rgb="FF757171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sz val="11"/>
      <color rgb="FF000000"/>
      <name val="Calibri"/>
    </font>
    <font>
      <sz val="11"/>
      <color rgb="FF808080"/>
      <name val="Calibri"/>
    </font>
    <font>
      <b/>
      <i/>
      <sz val="10"/>
      <color rgb="FFFFFFFF"/>
      <name val="Segoe UI"/>
      <family val="2"/>
    </font>
    <font>
      <b/>
      <sz val="11"/>
      <color theme="0"/>
      <name val="Arial"/>
      <family val="2"/>
      <scheme val="minor"/>
    </font>
    <font>
      <b/>
      <sz val="11"/>
      <color rgb="FF002060"/>
      <name val="Calibri"/>
      <family val="2"/>
    </font>
    <font>
      <sz val="11"/>
      <color theme="5"/>
      <name val="Calibri"/>
      <family val="2"/>
    </font>
    <font>
      <sz val="10"/>
      <color theme="1"/>
      <name val="Segoe UI"/>
    </font>
    <font>
      <sz val="10"/>
      <color theme="1"/>
      <name val="Segoe UI"/>
      <family val="2"/>
    </font>
    <font>
      <sz val="11"/>
      <color theme="2" tint="-0.249977111117893"/>
      <name val="Arial"/>
      <family val="2"/>
      <scheme val="minor"/>
    </font>
    <font>
      <sz val="10"/>
      <color theme="1"/>
      <name val="Arial"/>
      <charset val="134"/>
      <scheme val="minor"/>
    </font>
    <font>
      <sz val="11"/>
      <color rgb="FF4D4D4D"/>
      <name val="Lexend Light"/>
    </font>
    <font>
      <b/>
      <sz val="11"/>
      <color rgb="FFFFFFFF"/>
      <name val="Segoe UI Light"/>
      <family val="2"/>
    </font>
    <font>
      <i/>
      <sz val="11"/>
      <color rgb="FF0090A1"/>
      <name val="Segoe UI Light"/>
      <family val="2"/>
    </font>
    <font>
      <sz val="11"/>
      <color theme="2" tint="-0.249977111117893"/>
      <name val="Calibri"/>
    </font>
    <font>
      <b/>
      <sz val="14"/>
      <color theme="0"/>
      <name val="Segoe UI"/>
      <family val="2"/>
    </font>
    <font>
      <sz val="11"/>
      <color theme="0"/>
      <name val="Segoe UI Light"/>
      <family val="2"/>
    </font>
    <font>
      <b/>
      <sz val="11"/>
      <color theme="0"/>
      <name val="Segoe UI Light"/>
      <family val="2"/>
    </font>
    <font>
      <sz val="9"/>
      <color rgb="FF404040"/>
      <name val="Lexend Light"/>
    </font>
    <font>
      <b/>
      <sz val="9"/>
      <color rgb="FF404040"/>
      <name val="Lexend Light"/>
    </font>
    <font>
      <sz val="11"/>
      <color theme="0" tint="-0.89999084444715716"/>
      <name val="Arial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Lexend"/>
    </font>
    <font>
      <sz val="10"/>
      <color rgb="FFFFFFFF"/>
      <name val="Lexend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4D4D4D"/>
      <name val="Arial"/>
      <family val="2"/>
    </font>
    <font>
      <sz val="11"/>
      <color rgb="FF4D4D4D"/>
      <name val="Arial"/>
      <family val="2"/>
    </font>
    <font>
      <sz val="14"/>
      <color rgb="FF000000"/>
      <name val="Arial"/>
      <family val="2"/>
    </font>
    <font>
      <sz val="11"/>
      <color theme="5" tint="-0.249977111117893"/>
      <name val="Arial"/>
      <family val="2"/>
      <scheme val="minor"/>
    </font>
    <font>
      <sz val="11"/>
      <color theme="5" tint="-0.249977111117893"/>
      <name val="Calibri"/>
      <family val="2"/>
    </font>
    <font>
      <i/>
      <sz val="11"/>
      <color rgb="FF0090A1"/>
      <name val="Segoe UI Light"/>
    </font>
    <font>
      <b/>
      <sz val="11"/>
      <color rgb="FFFF0000"/>
      <name val="Arial"/>
      <family val="2"/>
      <scheme val="minor"/>
    </font>
    <font>
      <sz val="10"/>
      <color theme="1"/>
      <name val="Calibri"/>
      <charset val="134"/>
      <scheme val="minor"/>
    </font>
    <font>
      <b/>
      <sz val="11"/>
      <color rgb="FF000000"/>
      <name val="Calibri"/>
    </font>
    <font>
      <sz val="10"/>
      <color theme="1"/>
      <name val="Calibri"/>
    </font>
    <font>
      <sz val="10"/>
      <color theme="4" tint="-0.499984740745262"/>
      <name val="lexend"/>
    </font>
    <font>
      <u/>
      <sz val="11"/>
      <color theme="10"/>
      <name val="Arial"/>
      <family val="2"/>
      <scheme val="minor"/>
    </font>
    <font>
      <b/>
      <sz val="11"/>
      <color rgb="FFFFFFFF"/>
      <name val="Segoe UI Light"/>
    </font>
    <font>
      <i/>
      <sz val="11"/>
      <color rgb="FF0090A1"/>
      <name val="Segoe UI Light"/>
      <charset val="163"/>
    </font>
    <font>
      <sz val="11"/>
      <color rgb="FF000000"/>
      <name val="Segoe UI Light"/>
      <charset val="163"/>
    </font>
    <font>
      <i/>
      <sz val="11"/>
      <color rgb="FFFF0000"/>
      <name val="Arial"/>
      <family val="2"/>
      <scheme val="minor"/>
    </font>
    <font>
      <b/>
      <sz val="11"/>
      <color theme="8" tint="-0.499984740745262"/>
      <name val="Arial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49494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2DA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90A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8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90A1"/>
        <bgColor rgb="FF000000"/>
      </patternFill>
    </fill>
    <fill>
      <patternFill patternType="solid">
        <fgColor rgb="FFF0F8F9"/>
        <bgColor rgb="FF000000"/>
      </patternFill>
    </fill>
    <fill>
      <patternFill patternType="solid">
        <fgColor rgb="FFE0F1F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5F4F6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theme="5" tint="0.59999389629810485"/>
        <bgColor indexed="64"/>
      </patternFill>
    </fill>
  </fills>
  <borders count="1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00B0F0"/>
      </left>
      <right style="hair">
        <color rgb="FF00B0F0"/>
      </right>
      <top style="hair">
        <color rgb="FF00B0F0"/>
      </top>
      <bottom/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/>
      <right style="hair">
        <color rgb="FF00B0F0"/>
      </right>
      <top/>
      <bottom style="hair">
        <color rgb="FF00B0F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B0F0"/>
      </left>
      <right style="hair">
        <color rgb="FF00B0F0"/>
      </right>
      <top/>
      <bottom style="hair">
        <color rgb="FF00B0F0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/>
      <bottom/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/>
      <bottom/>
      <diagonal/>
    </border>
    <border>
      <left/>
      <right/>
      <top/>
      <bottom style="hair">
        <color rgb="FF00B0F0"/>
      </bottom>
      <diagonal/>
    </border>
    <border>
      <left/>
      <right/>
      <top style="hair">
        <color rgb="FF00B0F0"/>
      </top>
      <bottom/>
      <diagonal/>
    </border>
    <border>
      <left style="hair">
        <color rgb="FF00B0F0"/>
      </left>
      <right/>
      <top style="hair">
        <color rgb="FF00B0F0"/>
      </top>
      <bottom/>
      <diagonal/>
    </border>
    <border>
      <left style="hair">
        <color rgb="FF00B0F0"/>
      </left>
      <right/>
      <top/>
      <bottom style="hair">
        <color rgb="FF00B0F0"/>
      </bottom>
      <diagonal/>
    </border>
    <border>
      <left/>
      <right style="hair">
        <color rgb="FF00B0F0"/>
      </right>
      <top style="hair">
        <color rgb="FF00B0F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FFFFFF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rgb="FF4D4D4D"/>
      </top>
      <bottom style="thin">
        <color rgb="FF4D4D4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medium">
        <color rgb="FFCCCCCC"/>
      </bottom>
      <diagonal/>
    </border>
    <border>
      <left/>
      <right style="medium">
        <color rgb="FFCCCCCC"/>
      </right>
      <top style="thin">
        <color rgb="FF000000"/>
      </top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thin">
        <color rgb="FF000000"/>
      </right>
      <top/>
      <bottom style="medium">
        <color rgb="FFCCCCCC"/>
      </bottom>
      <diagonal/>
    </border>
    <border>
      <left/>
      <right style="medium">
        <color rgb="FFCCCCCC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tted">
        <color rgb="FF00B0F0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2">
    <xf numFmtId="0" fontId="0" fillId="0" borderId="0"/>
    <xf numFmtId="9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2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1" fillId="20" borderId="0" applyNumberFormat="0" applyBorder="0" applyAlignment="0" applyProtection="0"/>
    <xf numFmtId="0" fontId="25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7" borderId="0" applyNumberFormat="0" applyBorder="0" applyAlignment="0" applyProtection="0"/>
    <xf numFmtId="0" fontId="25" fillId="18" borderId="0" applyNumberFormat="0" applyBorder="0" applyAlignment="0" applyProtection="0"/>
    <xf numFmtId="0" fontId="21" fillId="19" borderId="0" applyNumberFormat="0" applyBorder="0" applyAlignment="0" applyProtection="0"/>
    <xf numFmtId="0" fontId="25" fillId="21" borderId="0" applyNumberFormat="0" applyBorder="0" applyAlignment="0" applyProtection="0"/>
    <xf numFmtId="0" fontId="25" fillId="26" borderId="0" applyNumberFormat="0" applyBorder="0" applyAlignment="0" applyProtection="0"/>
    <xf numFmtId="0" fontId="75" fillId="0" borderId="0" applyNumberFormat="0" applyFill="0" applyBorder="0" applyAlignment="0" applyProtection="0"/>
  </cellStyleXfs>
  <cellXfs count="527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3" fontId="8" fillId="0" borderId="0" xfId="2" applyNumberFormat="1" applyFont="1"/>
    <xf numFmtId="0" fontId="9" fillId="11" borderId="5" xfId="2" applyFont="1" applyFill="1" applyBorder="1" applyAlignment="1">
      <alignment horizontal="center"/>
    </xf>
    <xf numFmtId="0" fontId="13" fillId="0" borderId="0" xfId="4" applyFont="1" applyAlignment="1">
      <alignment horizontal="left" vertical="center" wrapText="1"/>
    </xf>
    <xf numFmtId="0" fontId="12" fillId="0" borderId="0" xfId="4" applyFont="1" applyAlignment="1">
      <alignment horizontal="left" vertical="center"/>
    </xf>
    <xf numFmtId="0" fontId="1" fillId="0" borderId="0" xfId="4" applyAlignment="1">
      <alignment horizontal="left" vertical="center" wrapText="1"/>
    </xf>
    <xf numFmtId="0" fontId="14" fillId="28" borderId="13" xfId="4" applyFont="1" applyFill="1" applyBorder="1" applyAlignment="1">
      <alignment horizontal="left" vertical="center" readingOrder="1"/>
    </xf>
    <xf numFmtId="0" fontId="14" fillId="28" borderId="14" xfId="4" applyFont="1" applyFill="1" applyBorder="1" applyAlignment="1">
      <alignment horizontal="left" vertical="center" readingOrder="1"/>
    </xf>
    <xf numFmtId="0" fontId="14" fillId="28" borderId="15" xfId="4" applyFont="1" applyFill="1" applyBorder="1" applyAlignment="1">
      <alignment horizontal="left" vertical="center" readingOrder="1"/>
    </xf>
    <xf numFmtId="0" fontId="14" fillId="28" borderId="16" xfId="4" applyFont="1" applyFill="1" applyBorder="1" applyAlignment="1">
      <alignment horizontal="left" vertical="center" readingOrder="1"/>
    </xf>
    <xf numFmtId="0" fontId="15" fillId="0" borderId="17" xfId="4" applyFont="1" applyBorder="1" applyAlignment="1">
      <alignment horizontal="left" vertical="top" readingOrder="1"/>
    </xf>
    <xf numFmtId="0" fontId="16" fillId="0" borderId="0" xfId="4" applyFont="1" applyAlignment="1">
      <alignment horizontal="left" vertical="top" readingOrder="1"/>
    </xf>
    <xf numFmtId="0" fontId="16" fillId="12" borderId="0" xfId="4" applyFont="1" applyFill="1" applyAlignment="1">
      <alignment horizontal="left" vertical="top" readingOrder="1"/>
    </xf>
    <xf numFmtId="0" fontId="17" fillId="13" borderId="18" xfId="4" applyFont="1" applyFill="1" applyBorder="1" applyAlignment="1">
      <alignment horizontal="left" vertical="top" readingOrder="1"/>
    </xf>
    <xf numFmtId="0" fontId="1" fillId="0" borderId="0" xfId="4" applyAlignment="1">
      <alignment horizontal="left" vertical="top" wrapText="1" readingOrder="1"/>
    </xf>
    <xf numFmtId="0" fontId="18" fillId="0" borderId="0" xfId="4" applyFont="1" applyAlignment="1">
      <alignment horizontal="left" vertical="top" readingOrder="1"/>
    </xf>
    <xf numFmtId="0" fontId="19" fillId="0" borderId="0" xfId="0" applyFont="1" applyAlignment="1">
      <alignment vertical="top" wrapText="1" readingOrder="1"/>
    </xf>
    <xf numFmtId="0" fontId="16" fillId="0" borderId="18" xfId="4" applyFont="1" applyBorder="1" applyAlignment="1">
      <alignment horizontal="left" vertical="top" readingOrder="1"/>
    </xf>
    <xf numFmtId="0" fontId="18" fillId="13" borderId="0" xfId="4" applyFont="1" applyFill="1" applyAlignment="1">
      <alignment horizontal="left" vertical="top" readingOrder="1"/>
    </xf>
    <xf numFmtId="0" fontId="18" fillId="13" borderId="18" xfId="4" applyFont="1" applyFill="1" applyBorder="1" applyAlignment="1">
      <alignment horizontal="left" vertical="top" readingOrder="1"/>
    </xf>
    <xf numFmtId="0" fontId="15" fillId="0" borderId="19" xfId="4" applyFont="1" applyBorder="1" applyAlignment="1">
      <alignment horizontal="left" vertical="top" readingOrder="1"/>
    </xf>
    <xf numFmtId="0" fontId="16" fillId="0" borderId="11" xfId="4" applyFont="1" applyBorder="1" applyAlignment="1">
      <alignment horizontal="left" vertical="top" readingOrder="1"/>
    </xf>
    <xf numFmtId="0" fontId="16" fillId="0" borderId="20" xfId="4" applyFont="1" applyBorder="1" applyAlignment="1">
      <alignment horizontal="left" vertical="top" readingOrder="1"/>
    </xf>
    <xf numFmtId="0" fontId="18" fillId="0" borderId="20" xfId="4" applyFont="1" applyBorder="1" applyAlignment="1">
      <alignment horizontal="left" vertical="top" readingOrder="1"/>
    </xf>
    <xf numFmtId="0" fontId="16" fillId="0" borderId="21" xfId="4" applyFont="1" applyBorder="1" applyAlignment="1">
      <alignment horizontal="left" vertical="top" readingOrder="1"/>
    </xf>
    <xf numFmtId="0" fontId="27" fillId="30" borderId="24" xfId="5" applyFont="1" applyFill="1" applyBorder="1" applyAlignment="1">
      <alignment vertical="center"/>
    </xf>
    <xf numFmtId="167" fontId="28" fillId="30" borderId="24" xfId="6" applyNumberFormat="1" applyFont="1" applyFill="1" applyBorder="1" applyAlignment="1">
      <alignment horizontal="right"/>
    </xf>
    <xf numFmtId="167" fontId="29" fillId="30" borderId="24" xfId="6" applyNumberFormat="1" applyFont="1" applyFill="1" applyBorder="1" applyAlignment="1">
      <alignment horizontal="right"/>
    </xf>
    <xf numFmtId="0" fontId="27" fillId="0" borderId="24" xfId="5" applyFont="1" applyBorder="1" applyAlignment="1">
      <alignment vertical="center"/>
    </xf>
    <xf numFmtId="167" fontId="28" fillId="0" borderId="24" xfId="6" applyNumberFormat="1" applyFont="1" applyBorder="1" applyAlignment="1">
      <alignment horizontal="right"/>
    </xf>
    <xf numFmtId="167" fontId="29" fillId="0" borderId="24" xfId="6" applyNumberFormat="1" applyFont="1" applyBorder="1"/>
    <xf numFmtId="0" fontId="25" fillId="26" borderId="0" xfId="20" applyAlignment="1">
      <alignment horizontal="left" vertical="top" wrapText="1"/>
    </xf>
    <xf numFmtId="10" fontId="0" fillId="0" borderId="0" xfId="0" applyNumberFormat="1"/>
    <xf numFmtId="165" fontId="0" fillId="0" borderId="0" xfId="0" applyNumberFormat="1"/>
    <xf numFmtId="3" fontId="31" fillId="0" borderId="31" xfId="0" applyNumberFormat="1" applyFont="1" applyBorder="1"/>
    <xf numFmtId="0" fontId="0" fillId="0" borderId="0" xfId="0" applyAlignment="1">
      <alignment vertical="center"/>
    </xf>
    <xf numFmtId="16" fontId="0" fillId="0" borderId="0" xfId="0" applyNumberFormat="1"/>
    <xf numFmtId="0" fontId="38" fillId="0" borderId="29" xfId="0" applyFont="1" applyBorder="1"/>
    <xf numFmtId="0" fontId="38" fillId="0" borderId="44" xfId="0" applyFont="1" applyBorder="1"/>
    <xf numFmtId="0" fontId="39" fillId="0" borderId="30" xfId="0" applyFont="1" applyBorder="1"/>
    <xf numFmtId="0" fontId="38" fillId="0" borderId="31" xfId="0" applyFont="1" applyBorder="1"/>
    <xf numFmtId="0" fontId="39" fillId="0" borderId="31" xfId="0" applyFont="1" applyBorder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166" fontId="0" fillId="0" borderId="45" xfId="3" applyNumberFormat="1" applyFont="1" applyBorder="1" applyAlignment="1">
      <alignment horizontal="right"/>
    </xf>
    <xf numFmtId="166" fontId="0" fillId="0" borderId="45" xfId="0" applyNumberFormat="1" applyBorder="1"/>
    <xf numFmtId="14" fontId="40" fillId="39" borderId="45" xfId="0" applyNumberFormat="1" applyFont="1" applyFill="1" applyBorder="1" applyAlignment="1">
      <alignment horizontal="center" vertical="center" wrapText="1"/>
    </xf>
    <xf numFmtId="166" fontId="6" fillId="40" borderId="45" xfId="0" applyNumberFormat="1" applyFont="1" applyFill="1" applyBorder="1" applyAlignment="1">
      <alignment horizontal="center"/>
    </xf>
    <xf numFmtId="166" fontId="0" fillId="14" borderId="45" xfId="0" applyNumberFormat="1" applyFill="1" applyBorder="1" applyAlignment="1">
      <alignment horizontal="center"/>
    </xf>
    <xf numFmtId="167" fontId="41" fillId="44" borderId="0" xfId="0" applyNumberFormat="1" applyFont="1" applyFill="1"/>
    <xf numFmtId="165" fontId="0" fillId="42" borderId="0" xfId="0" applyNumberFormat="1" applyFill="1"/>
    <xf numFmtId="165" fontId="6" fillId="45" borderId="0" xfId="0" applyNumberFormat="1" applyFont="1" applyFill="1"/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3" fontId="4" fillId="5" borderId="33" xfId="0" applyNumberFormat="1" applyFont="1" applyFill="1" applyBorder="1" applyAlignment="1">
      <alignment horizontal="center" vertical="center" wrapText="1"/>
    </xf>
    <xf numFmtId="3" fontId="4" fillId="5" borderId="34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14" fontId="2" fillId="2" borderId="8" xfId="0" applyNumberFormat="1" applyFont="1" applyFill="1" applyBorder="1" applyAlignment="1">
      <alignment vertical="center" wrapText="1"/>
    </xf>
    <xf numFmtId="1" fontId="6" fillId="11" borderId="5" xfId="0" applyNumberFormat="1" applyFont="1" applyFill="1" applyBorder="1"/>
    <xf numFmtId="1" fontId="6" fillId="11" borderId="6" xfId="0" applyNumberFormat="1" applyFont="1" applyFill="1" applyBorder="1"/>
    <xf numFmtId="1" fontId="6" fillId="11" borderId="9" xfId="0" applyNumberFormat="1" applyFont="1" applyFill="1" applyBorder="1"/>
    <xf numFmtId="1" fontId="0" fillId="12" borderId="12" xfId="0" applyNumberFormat="1" applyFill="1" applyBorder="1" applyAlignment="1">
      <alignment vertical="center"/>
    </xf>
    <xf numFmtId="0" fontId="6" fillId="11" borderId="5" xfId="0" applyFont="1" applyFill="1" applyBorder="1"/>
    <xf numFmtId="0" fontId="6" fillId="11" borderId="6" xfId="0" applyFont="1" applyFill="1" applyBorder="1"/>
    <xf numFmtId="0" fontId="6" fillId="11" borderId="9" xfId="0" applyFont="1" applyFill="1" applyBorder="1"/>
    <xf numFmtId="0" fontId="0" fillId="12" borderId="12" xfId="0" applyFill="1" applyBorder="1" applyAlignment="1">
      <alignment vertical="center"/>
    </xf>
    <xf numFmtId="1" fontId="31" fillId="47" borderId="58" xfId="0" applyNumberFormat="1" applyFont="1" applyFill="1" applyBorder="1" applyAlignment="1">
      <alignment vertical="center" wrapText="1"/>
    </xf>
    <xf numFmtId="1" fontId="31" fillId="47" borderId="55" xfId="0" applyNumberFormat="1" applyFont="1" applyFill="1" applyBorder="1" applyAlignment="1">
      <alignment vertical="center" wrapText="1"/>
    </xf>
    <xf numFmtId="1" fontId="31" fillId="47" borderId="68" xfId="0" applyNumberFormat="1" applyFont="1" applyFill="1" applyBorder="1" applyAlignment="1">
      <alignment vertical="center" wrapText="1"/>
    </xf>
    <xf numFmtId="166" fontId="18" fillId="48" borderId="61" xfId="0" applyNumberFormat="1" applyFont="1" applyFill="1" applyBorder="1" applyAlignment="1">
      <alignment vertical="center" wrapText="1" readingOrder="1"/>
    </xf>
    <xf numFmtId="0" fontId="46" fillId="5" borderId="10" xfId="0" applyFont="1" applyFill="1" applyBorder="1" applyAlignment="1">
      <alignment horizontal="center" vertical="center" wrapText="1"/>
    </xf>
    <xf numFmtId="3" fontId="46" fillId="5" borderId="10" xfId="0" applyNumberFormat="1" applyFont="1" applyFill="1" applyBorder="1" applyAlignment="1">
      <alignment horizontal="center" vertical="center" wrapText="1"/>
    </xf>
    <xf numFmtId="3" fontId="47" fillId="0" borderId="71" xfId="0" applyNumberFormat="1" applyFont="1" applyBorder="1" applyAlignment="1">
      <alignment vertical="center"/>
    </xf>
    <xf numFmtId="15" fontId="7" fillId="0" borderId="0" xfId="0" applyNumberFormat="1" applyFont="1"/>
    <xf numFmtId="0" fontId="7" fillId="0" borderId="11" xfId="0" applyFont="1" applyBorder="1"/>
    <xf numFmtId="3" fontId="8" fillId="0" borderId="0" xfId="0" applyNumberFormat="1" applyFont="1"/>
    <xf numFmtId="3" fontId="7" fillId="0" borderId="0" xfId="0" applyNumberFormat="1" applyFont="1"/>
    <xf numFmtId="15" fontId="7" fillId="0" borderId="0" xfId="0" applyNumberFormat="1" applyFont="1" applyAlignment="1">
      <alignment wrapText="1"/>
    </xf>
    <xf numFmtId="0" fontId="7" fillId="0" borderId="11" xfId="0" applyFont="1" applyBorder="1" applyAlignment="1">
      <alignment wrapText="1"/>
    </xf>
    <xf numFmtId="3" fontId="8" fillId="0" borderId="0" xfId="0" applyNumberFormat="1" applyFont="1" applyAlignment="1">
      <alignment wrapText="1"/>
    </xf>
    <xf numFmtId="3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166" fontId="6" fillId="11" borderId="9" xfId="0" applyNumberFormat="1" applyFont="1" applyFill="1" applyBorder="1"/>
    <xf numFmtId="166" fontId="6" fillId="13" borderId="72" xfId="3" applyNumberFormat="1" applyFont="1" applyFill="1" applyBorder="1" applyAlignment="1">
      <alignment horizontal="right"/>
    </xf>
    <xf numFmtId="14" fontId="2" fillId="2" borderId="74" xfId="0" applyNumberFormat="1" applyFont="1" applyFill="1" applyBorder="1" applyAlignment="1">
      <alignment vertical="center" wrapText="1"/>
    </xf>
    <xf numFmtId="14" fontId="2" fillId="2" borderId="62" xfId="0" applyNumberFormat="1" applyFont="1" applyFill="1" applyBorder="1" applyAlignment="1">
      <alignment vertical="center" wrapText="1"/>
    </xf>
    <xf numFmtId="14" fontId="2" fillId="2" borderId="59" xfId="0" applyNumberFormat="1" applyFont="1" applyFill="1" applyBorder="1" applyAlignment="1">
      <alignment vertical="center" wrapText="1"/>
    </xf>
    <xf numFmtId="1" fontId="6" fillId="11" borderId="75" xfId="0" applyNumberFormat="1" applyFont="1" applyFill="1" applyBorder="1"/>
    <xf numFmtId="1" fontId="0" fillId="12" borderId="0" xfId="0" applyNumberFormat="1" applyFill="1" applyAlignment="1">
      <alignment vertical="center"/>
    </xf>
    <xf numFmtId="166" fontId="0" fillId="0" borderId="0" xfId="0" applyNumberFormat="1"/>
    <xf numFmtId="166" fontId="0" fillId="0" borderId="58" xfId="0" applyNumberFormat="1" applyBorder="1"/>
    <xf numFmtId="1" fontId="10" fillId="12" borderId="0" xfId="0" applyNumberFormat="1" applyFont="1" applyFill="1" applyAlignment="1">
      <alignment vertical="center"/>
    </xf>
    <xf numFmtId="0" fontId="6" fillId="11" borderId="75" xfId="0" applyFont="1" applyFill="1" applyBorder="1"/>
    <xf numFmtId="0" fontId="0" fillId="12" borderId="0" xfId="0" applyFill="1" applyAlignment="1">
      <alignment vertical="center"/>
    </xf>
    <xf numFmtId="0" fontId="0" fillId="0" borderId="58" xfId="0" applyBorder="1"/>
    <xf numFmtId="0" fontId="10" fillId="12" borderId="0" xfId="0" applyFont="1" applyFill="1" applyAlignment="1">
      <alignment vertical="center"/>
    </xf>
    <xf numFmtId="3" fontId="47" fillId="0" borderId="0" xfId="0" applyNumberFormat="1" applyFont="1" applyAlignment="1">
      <alignment vertical="center"/>
    </xf>
    <xf numFmtId="166" fontId="47" fillId="0" borderId="0" xfId="0" applyNumberFormat="1" applyFont="1" applyAlignment="1">
      <alignment horizontal="left" vertical="center"/>
    </xf>
    <xf numFmtId="1" fontId="31" fillId="47" borderId="0" xfId="0" applyNumberFormat="1" applyFont="1" applyFill="1" applyAlignment="1">
      <alignment vertical="center" wrapText="1"/>
    </xf>
    <xf numFmtId="1" fontId="4" fillId="0" borderId="0" xfId="0" applyNumberFormat="1" applyFont="1"/>
    <xf numFmtId="0" fontId="4" fillId="0" borderId="0" xfId="0" applyFont="1"/>
    <xf numFmtId="169" fontId="45" fillId="0" borderId="0" xfId="0" applyNumberFormat="1" applyFont="1" applyAlignment="1">
      <alignment vertical="center"/>
    </xf>
    <xf numFmtId="169" fontId="45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10" fillId="12" borderId="55" xfId="0" applyFont="1" applyFill="1" applyBorder="1" applyAlignment="1">
      <alignment vertical="center"/>
    </xf>
    <xf numFmtId="0" fontId="10" fillId="12" borderId="53" xfId="0" applyFont="1" applyFill="1" applyBorder="1" applyAlignment="1">
      <alignment vertical="center"/>
    </xf>
    <xf numFmtId="166" fontId="0" fillId="0" borderId="55" xfId="0" applyNumberFormat="1" applyBorder="1"/>
    <xf numFmtId="0" fontId="0" fillId="0" borderId="55" xfId="0" applyBorder="1"/>
    <xf numFmtId="0" fontId="0" fillId="0" borderId="56" xfId="0" applyBorder="1"/>
    <xf numFmtId="14" fontId="2" fillId="2" borderId="3" xfId="0" applyNumberFormat="1" applyFont="1" applyFill="1" applyBorder="1" applyAlignment="1">
      <alignment vertical="center" wrapText="1"/>
    </xf>
    <xf numFmtId="3" fontId="47" fillId="0" borderId="0" xfId="0" applyNumberFormat="1" applyFont="1" applyAlignment="1">
      <alignment horizontal="left" vertical="center"/>
    </xf>
    <xf numFmtId="165" fontId="31" fillId="5" borderId="0" xfId="0" applyNumberFormat="1" applyFont="1" applyFill="1" applyAlignment="1">
      <alignment horizontal="center" wrapText="1"/>
    </xf>
    <xf numFmtId="169" fontId="11" fillId="0" borderId="0" xfId="0" applyNumberFormat="1" applyFont="1" applyAlignment="1">
      <alignment horizontal="center" vertical="center"/>
    </xf>
    <xf numFmtId="166" fontId="6" fillId="40" borderId="48" xfId="0" applyNumberFormat="1" applyFont="1" applyFill="1" applyBorder="1" applyAlignment="1">
      <alignment horizontal="center"/>
    </xf>
    <xf numFmtId="0" fontId="41" fillId="49" borderId="45" xfId="0" applyFont="1" applyFill="1" applyBorder="1" applyAlignment="1">
      <alignment horizontal="center" vertical="center"/>
    </xf>
    <xf numFmtId="0" fontId="31" fillId="0" borderId="0" xfId="0" applyFont="1"/>
    <xf numFmtId="0" fontId="4" fillId="5" borderId="76" xfId="0" applyFont="1" applyFill="1" applyBorder="1" applyAlignment="1">
      <alignment horizontal="center" vertical="center" wrapText="1"/>
    </xf>
    <xf numFmtId="166" fontId="0" fillId="12" borderId="45" xfId="0" applyNumberFormat="1" applyFill="1" applyBorder="1" applyAlignment="1">
      <alignment horizontal="center"/>
    </xf>
    <xf numFmtId="0" fontId="41" fillId="46" borderId="45" xfId="0" applyFont="1" applyFill="1" applyBorder="1" applyAlignment="1">
      <alignment horizontal="center" vertical="center" wrapText="1"/>
    </xf>
    <xf numFmtId="0" fontId="41" fillId="46" borderId="45" xfId="0" applyFont="1" applyFill="1" applyBorder="1" applyAlignment="1">
      <alignment horizontal="center" vertical="center"/>
    </xf>
    <xf numFmtId="166" fontId="41" fillId="46" borderId="45" xfId="0" applyNumberFormat="1" applyFont="1" applyFill="1" applyBorder="1" applyAlignment="1">
      <alignment horizontal="center" vertical="center"/>
    </xf>
    <xf numFmtId="1" fontId="31" fillId="47" borderId="0" xfId="0" applyNumberFormat="1" applyFont="1" applyFill="1" applyAlignment="1">
      <alignment horizontal="center" vertical="center" wrapText="1"/>
    </xf>
    <xf numFmtId="1" fontId="31" fillId="47" borderId="58" xfId="0" applyNumberFormat="1" applyFont="1" applyFill="1" applyBorder="1" applyAlignment="1">
      <alignment horizontal="center" vertical="center" wrapText="1"/>
    </xf>
    <xf numFmtId="49" fontId="31" fillId="47" borderId="10" xfId="0" applyNumberFormat="1" applyFont="1" applyFill="1" applyBorder="1" applyAlignment="1">
      <alignment horizontal="center" vertical="center" wrapText="1"/>
    </xf>
    <xf numFmtId="49" fontId="31" fillId="47" borderId="77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18" fillId="51" borderId="82" xfId="0" applyNumberFormat="1" applyFont="1" applyFill="1" applyBorder="1" applyAlignment="1">
      <alignment wrapText="1" readingOrder="1"/>
    </xf>
    <xf numFmtId="166" fontId="48" fillId="52" borderId="82" xfId="0" applyNumberFormat="1" applyFont="1" applyFill="1" applyBorder="1" applyAlignment="1">
      <alignment wrapText="1" readingOrder="1"/>
    </xf>
    <xf numFmtId="0" fontId="7" fillId="0" borderId="0" xfId="0" applyFont="1"/>
    <xf numFmtId="49" fontId="31" fillId="47" borderId="0" xfId="0" applyNumberFormat="1" applyFont="1" applyFill="1" applyAlignment="1">
      <alignment horizontal="center" vertical="center" wrapText="1"/>
    </xf>
    <xf numFmtId="49" fontId="31" fillId="47" borderId="58" xfId="0" applyNumberFormat="1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9" fontId="0" fillId="0" borderId="0" xfId="0" applyNumberFormat="1"/>
    <xf numFmtId="0" fontId="9" fillId="0" borderId="9" xfId="2" applyFont="1" applyBorder="1" applyAlignment="1">
      <alignment horizontal="center" vertical="center" wrapText="1"/>
    </xf>
    <xf numFmtId="0" fontId="8" fillId="0" borderId="57" xfId="2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6" borderId="5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9" fillId="11" borderId="12" xfId="2" applyFont="1" applyFill="1" applyBorder="1" applyAlignment="1">
      <alignment horizontal="center"/>
    </xf>
    <xf numFmtId="166" fontId="18" fillId="48" borderId="88" xfId="0" applyNumberFormat="1" applyFont="1" applyFill="1" applyBorder="1" applyAlignment="1">
      <alignment vertical="center" wrapText="1" readingOrder="1"/>
    </xf>
    <xf numFmtId="0" fontId="0" fillId="0" borderId="27" xfId="0" applyBorder="1"/>
    <xf numFmtId="166" fontId="18" fillId="51" borderId="89" xfId="0" applyNumberFormat="1" applyFont="1" applyFill="1" applyBorder="1" applyAlignment="1">
      <alignment wrapText="1" readingOrder="1"/>
    </xf>
    <xf numFmtId="166" fontId="48" fillId="52" borderId="76" xfId="0" applyNumberFormat="1" applyFont="1" applyFill="1" applyBorder="1" applyAlignment="1">
      <alignment wrapText="1" readingOrder="1"/>
    </xf>
    <xf numFmtId="169" fontId="11" fillId="0" borderId="27" xfId="0" applyNumberFormat="1" applyFont="1" applyBorder="1" applyAlignment="1">
      <alignment horizontal="center" vertical="center"/>
    </xf>
    <xf numFmtId="169" fontId="45" fillId="0" borderId="28" xfId="0" applyNumberFormat="1" applyFont="1" applyBorder="1" applyAlignment="1">
      <alignment horizontal="center" vertical="center"/>
    </xf>
    <xf numFmtId="0" fontId="0" fillId="0" borderId="76" xfId="0" applyBorder="1"/>
    <xf numFmtId="1" fontId="6" fillId="11" borderId="58" xfId="0" applyNumberFormat="1" applyFont="1" applyFill="1" applyBorder="1"/>
    <xf numFmtId="0" fontId="6" fillId="11" borderId="77" xfId="0" applyFont="1" applyFill="1" applyBorder="1"/>
    <xf numFmtId="0" fontId="0" fillId="0" borderId="28" xfId="0" applyBorder="1"/>
    <xf numFmtId="0" fontId="6" fillId="11" borderId="26" xfId="0" applyFont="1" applyFill="1" applyBorder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indent="4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indent="4"/>
    </xf>
    <xf numFmtId="0" fontId="49" fillId="50" borderId="78" xfId="0" applyFont="1" applyFill="1" applyBorder="1" applyAlignment="1">
      <alignment horizontal="center" vertical="center"/>
    </xf>
    <xf numFmtId="0" fontId="49" fillId="50" borderId="79" xfId="0" applyFont="1" applyFill="1" applyBorder="1" applyAlignment="1">
      <alignment horizontal="center" vertical="center"/>
    </xf>
    <xf numFmtId="0" fontId="49" fillId="50" borderId="78" xfId="0" applyFont="1" applyFill="1" applyBorder="1" applyAlignment="1">
      <alignment vertical="center"/>
    </xf>
    <xf numFmtId="0" fontId="49" fillId="50" borderId="79" xfId="0" applyFont="1" applyFill="1" applyBorder="1" applyAlignment="1">
      <alignment vertical="center"/>
    </xf>
    <xf numFmtId="0" fontId="49" fillId="50" borderId="91" xfId="0" applyFont="1" applyFill="1" applyBorder="1" applyAlignment="1">
      <alignment vertical="center" wrapText="1"/>
    </xf>
    <xf numFmtId="0" fontId="53" fillId="35" borderId="92" xfId="0" applyFont="1" applyFill="1" applyBorder="1" applyAlignment="1">
      <alignment horizontal="center" vertical="center" wrapText="1"/>
    </xf>
    <xf numFmtId="0" fontId="53" fillId="53" borderId="92" xfId="0" applyFont="1" applyFill="1" applyBorder="1" applyAlignment="1">
      <alignment horizontal="center"/>
    </xf>
    <xf numFmtId="0" fontId="54" fillId="53" borderId="92" xfId="0" applyFont="1" applyFill="1" applyBorder="1" applyAlignment="1">
      <alignment horizont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vertical="center"/>
    </xf>
    <xf numFmtId="0" fontId="50" fillId="0" borderId="90" xfId="0" applyFont="1" applyBorder="1" applyAlignment="1">
      <alignment vertical="center" wrapText="1"/>
    </xf>
    <xf numFmtId="3" fontId="55" fillId="0" borderId="93" xfId="0" applyNumberFormat="1" applyFont="1" applyBorder="1" applyAlignment="1">
      <alignment horizontal="center" vertical="center" wrapText="1" readingOrder="1"/>
    </xf>
    <xf numFmtId="3" fontId="55" fillId="0" borderId="93" xfId="0" applyNumberFormat="1" applyFont="1" applyBorder="1" applyAlignment="1">
      <alignment vertical="center" wrapText="1" readingOrder="1"/>
    </xf>
    <xf numFmtId="3" fontId="56" fillId="0" borderId="93" xfId="0" applyNumberFormat="1" applyFont="1" applyBorder="1" applyAlignment="1">
      <alignment horizontal="center" vertical="center" wrapText="1" readingOrder="1"/>
    </xf>
    <xf numFmtId="1" fontId="0" fillId="0" borderId="58" xfId="0" applyNumberFormat="1" applyBorder="1"/>
    <xf numFmtId="3" fontId="4" fillId="5" borderId="87" xfId="0" applyNumberFormat="1" applyFont="1" applyFill="1" applyBorder="1" applyAlignment="1">
      <alignment horizontal="center" vertical="center" wrapText="1"/>
    </xf>
    <xf numFmtId="1" fontId="4" fillId="5" borderId="58" xfId="0" applyNumberFormat="1" applyFont="1" applyFill="1" applyBorder="1" applyAlignment="1">
      <alignment horizontal="center" vertical="center" wrapText="1"/>
    </xf>
    <xf numFmtId="1" fontId="4" fillId="5" borderId="52" xfId="0" applyNumberFormat="1" applyFont="1" applyFill="1" applyBorder="1" applyAlignment="1">
      <alignment horizontal="center" vertical="center" wrapText="1"/>
    </xf>
    <xf numFmtId="1" fontId="4" fillId="5" borderId="55" xfId="0" applyNumberFormat="1" applyFont="1" applyFill="1" applyBorder="1" applyAlignment="1">
      <alignment horizontal="center" vertical="center" wrapText="1"/>
    </xf>
    <xf numFmtId="0" fontId="4" fillId="5" borderId="55" xfId="0" applyFont="1" applyFill="1" applyBorder="1" applyAlignment="1">
      <alignment horizontal="center" vertical="center" wrapText="1"/>
    </xf>
    <xf numFmtId="1" fontId="4" fillId="5" borderId="56" xfId="0" applyNumberFormat="1" applyFont="1" applyFill="1" applyBorder="1" applyAlignment="1">
      <alignment horizontal="center" vertical="center" wrapText="1"/>
    </xf>
    <xf numFmtId="0" fontId="57" fillId="0" borderId="0" xfId="0" applyFont="1"/>
    <xf numFmtId="3" fontId="0" fillId="0" borderId="0" xfId="0" applyNumberFormat="1"/>
    <xf numFmtId="166" fontId="4" fillId="5" borderId="0" xfId="0" applyNumberFormat="1" applyFont="1" applyFill="1" applyAlignment="1">
      <alignment horizontal="center" vertical="center" wrapText="1"/>
    </xf>
    <xf numFmtId="166" fontId="6" fillId="12" borderId="65" xfId="3" applyNumberFormat="1" applyFont="1" applyFill="1" applyBorder="1"/>
    <xf numFmtId="168" fontId="0" fillId="0" borderId="27" xfId="0" applyNumberFormat="1" applyBorder="1" applyAlignment="1">
      <alignment horizontal="right"/>
    </xf>
    <xf numFmtId="168" fontId="0" fillId="0" borderId="28" xfId="0" applyNumberFormat="1" applyBorder="1" applyAlignment="1">
      <alignment horizontal="right"/>
    </xf>
    <xf numFmtId="168" fontId="0" fillId="0" borderId="76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" fontId="0" fillId="0" borderId="0" xfId="0" applyNumberFormat="1"/>
    <xf numFmtId="166" fontId="0" fillId="0" borderId="0" xfId="0" applyNumberFormat="1" applyAlignment="1">
      <alignment horizontal="right"/>
    </xf>
    <xf numFmtId="165" fontId="43" fillId="5" borderId="0" xfId="0" applyNumberFormat="1" applyFont="1" applyFill="1" applyAlignment="1">
      <alignment horizontal="center" wrapText="1"/>
    </xf>
    <xf numFmtId="3" fontId="47" fillId="0" borderId="0" xfId="0" applyNumberFormat="1" applyFont="1" applyAlignment="1">
      <alignment horizontal="right" vertical="center"/>
    </xf>
    <xf numFmtId="165" fontId="3" fillId="10" borderId="85" xfId="1" applyNumberFormat="1" applyFont="1" applyFill="1" applyBorder="1" applyAlignment="1">
      <alignment horizontal="center" vertical="center" wrapText="1"/>
    </xf>
    <xf numFmtId="165" fontId="4" fillId="8" borderId="66" xfId="1" applyNumberFormat="1" applyFont="1" applyFill="1" applyBorder="1" applyAlignment="1">
      <alignment horizontal="center" vertical="center" wrapText="1"/>
    </xf>
    <xf numFmtId="165" fontId="4" fillId="8" borderId="67" xfId="1" applyNumberFormat="1" applyFont="1" applyFill="1" applyBorder="1" applyAlignment="1">
      <alignment horizontal="center" vertical="center" wrapText="1"/>
    </xf>
    <xf numFmtId="0" fontId="61" fillId="50" borderId="94" xfId="0" applyFont="1" applyFill="1" applyBorder="1" applyAlignment="1">
      <alignment wrapText="1"/>
    </xf>
    <xf numFmtId="0" fontId="61" fillId="50" borderId="95" xfId="0" applyFont="1" applyFill="1" applyBorder="1" applyAlignment="1">
      <alignment wrapText="1"/>
    </xf>
    <xf numFmtId="0" fontId="61" fillId="50" borderId="96" xfId="0" applyFont="1" applyFill="1" applyBorder="1" applyAlignment="1">
      <alignment wrapText="1"/>
    </xf>
    <xf numFmtId="0" fontId="63" fillId="10" borderId="97" xfId="0" applyFont="1" applyFill="1" applyBorder="1" applyAlignment="1">
      <alignment wrapText="1"/>
    </xf>
    <xf numFmtId="0" fontId="64" fillId="10" borderId="98" xfId="0" applyFont="1" applyFill="1" applyBorder="1" applyAlignment="1">
      <alignment wrapText="1"/>
    </xf>
    <xf numFmtId="0" fontId="64" fillId="10" borderId="99" xfId="0" applyFont="1" applyFill="1" applyBorder="1" applyAlignment="1">
      <alignment wrapText="1"/>
    </xf>
    <xf numFmtId="0" fontId="65" fillId="5" borderId="97" xfId="0" applyFont="1" applyFill="1" applyBorder="1" applyAlignment="1">
      <alignment wrapText="1"/>
    </xf>
    <xf numFmtId="0" fontId="65" fillId="5" borderId="100" xfId="0" applyFont="1" applyFill="1" applyBorder="1" applyAlignment="1">
      <alignment wrapText="1"/>
    </xf>
    <xf numFmtId="0" fontId="65" fillId="5" borderId="101" xfId="0" applyFont="1" applyFill="1" applyBorder="1" applyAlignment="1">
      <alignment wrapText="1"/>
    </xf>
    <xf numFmtId="0" fontId="65" fillId="59" borderId="97" xfId="0" applyFont="1" applyFill="1" applyBorder="1" applyAlignment="1">
      <alignment wrapText="1"/>
    </xf>
    <xf numFmtId="0" fontId="65" fillId="59" borderId="100" xfId="0" applyFont="1" applyFill="1" applyBorder="1" applyAlignment="1">
      <alignment wrapText="1"/>
    </xf>
    <xf numFmtId="0" fontId="65" fillId="59" borderId="101" xfId="0" applyFont="1" applyFill="1" applyBorder="1" applyAlignment="1">
      <alignment wrapText="1"/>
    </xf>
    <xf numFmtId="0" fontId="66" fillId="0" borderId="97" xfId="0" applyFont="1" applyBorder="1" applyAlignment="1">
      <alignment wrapText="1"/>
    </xf>
    <xf numFmtId="0" fontId="66" fillId="0" borderId="100" xfId="0" applyFont="1" applyBorder="1" applyAlignment="1">
      <alignment wrapText="1"/>
    </xf>
    <xf numFmtId="0" fontId="66" fillId="0" borderId="101" xfId="0" applyFont="1" applyBorder="1" applyAlignment="1">
      <alignment wrapText="1"/>
    </xf>
    <xf numFmtId="0" fontId="65" fillId="0" borderId="97" xfId="0" applyFont="1" applyBorder="1" applyAlignment="1">
      <alignment wrapText="1"/>
    </xf>
    <xf numFmtId="0" fontId="61" fillId="50" borderId="97" xfId="0" applyFont="1" applyFill="1" applyBorder="1" applyAlignment="1">
      <alignment wrapText="1"/>
    </xf>
    <xf numFmtId="0" fontId="61" fillId="50" borderId="100" xfId="0" applyFont="1" applyFill="1" applyBorder="1" applyAlignment="1">
      <alignment wrapText="1"/>
    </xf>
    <xf numFmtId="0" fontId="61" fillId="50" borderId="101" xfId="0" applyFont="1" applyFill="1" applyBorder="1" applyAlignment="1">
      <alignment wrapText="1"/>
    </xf>
    <xf numFmtId="0" fontId="65" fillId="59" borderId="48" xfId="0" applyFont="1" applyFill="1" applyBorder="1" applyAlignment="1">
      <alignment wrapText="1"/>
    </xf>
    <xf numFmtId="0" fontId="65" fillId="59" borderId="102" xfId="0" applyFont="1" applyFill="1" applyBorder="1" applyAlignment="1">
      <alignment wrapText="1"/>
    </xf>
    <xf numFmtId="0" fontId="65" fillId="59" borderId="103" xfId="0" applyFont="1" applyFill="1" applyBorder="1" applyAlignment="1">
      <alignment wrapText="1"/>
    </xf>
    <xf numFmtId="2" fontId="65" fillId="59" borderId="100" xfId="0" applyNumberFormat="1" applyFont="1" applyFill="1" applyBorder="1" applyAlignment="1">
      <alignment wrapText="1"/>
    </xf>
    <xf numFmtId="2" fontId="65" fillId="59" borderId="101" xfId="0" applyNumberFormat="1" applyFont="1" applyFill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0" fontId="51" fillId="0" borderId="27" xfId="2" applyNumberFormat="1" applyFont="1" applyBorder="1" applyAlignment="1">
      <alignment vertical="center"/>
    </xf>
    <xf numFmtId="170" fontId="51" fillId="0" borderId="28" xfId="2" applyNumberFormat="1" applyFont="1" applyBorder="1" applyAlignment="1">
      <alignment vertical="center"/>
    </xf>
    <xf numFmtId="170" fontId="51" fillId="0" borderId="76" xfId="2" applyNumberFormat="1" applyFont="1" applyBorder="1" applyAlignment="1">
      <alignment vertical="center"/>
    </xf>
    <xf numFmtId="0" fontId="7" fillId="0" borderId="58" xfId="2" applyBorder="1"/>
    <xf numFmtId="0" fontId="7" fillId="0" borderId="56" xfId="2" applyBorder="1"/>
    <xf numFmtId="170" fontId="51" fillId="0" borderId="33" xfId="2" applyNumberFormat="1" applyFont="1" applyBorder="1" applyAlignment="1">
      <alignment vertical="center"/>
    </xf>
    <xf numFmtId="166" fontId="18" fillId="51" borderId="0" xfId="0" applyNumberFormat="1" applyFont="1" applyFill="1" applyAlignment="1">
      <alignment wrapText="1" readingOrder="1"/>
    </xf>
    <xf numFmtId="168" fontId="6" fillId="14" borderId="86" xfId="0" applyNumberFormat="1" applyFont="1" applyFill="1" applyBorder="1" applyAlignment="1">
      <alignment horizontal="right"/>
    </xf>
    <xf numFmtId="4" fontId="0" fillId="0" borderId="2" xfId="0" applyNumberFormat="1" applyBorder="1" applyAlignment="1">
      <alignment horizontal="left"/>
    </xf>
    <xf numFmtId="4" fontId="0" fillId="0" borderId="51" xfId="0" applyNumberFormat="1" applyBorder="1" applyAlignment="1">
      <alignment horizontal="left"/>
    </xf>
    <xf numFmtId="4" fontId="6" fillId="14" borderId="86" xfId="0" applyNumberFormat="1" applyFont="1" applyFill="1" applyBorder="1" applyAlignment="1">
      <alignment horizontal="left"/>
    </xf>
    <xf numFmtId="165" fontId="70" fillId="0" borderId="0" xfId="0" applyNumberFormat="1" applyFont="1"/>
    <xf numFmtId="0" fontId="9" fillId="11" borderId="0" xfId="2" applyFont="1" applyFill="1" applyAlignment="1">
      <alignment horizontal="center"/>
    </xf>
    <xf numFmtId="43" fontId="0" fillId="0" borderId="0" xfId="0" applyNumberFormat="1"/>
    <xf numFmtId="165" fontId="6" fillId="9" borderId="0" xfId="0" applyNumberFormat="1" applyFont="1" applyFill="1"/>
    <xf numFmtId="1" fontId="11" fillId="0" borderId="0" xfId="0" applyNumberFormat="1" applyFont="1" applyAlignment="1">
      <alignment horizontal="center" vertical="center"/>
    </xf>
    <xf numFmtId="1" fontId="47" fillId="0" borderId="0" xfId="0" applyNumberFormat="1" applyFont="1" applyAlignment="1">
      <alignment horizontal="left" vertical="center"/>
    </xf>
    <xf numFmtId="9" fontId="33" fillId="14" borderId="31" xfId="0" applyNumberFormat="1" applyFont="1" applyFill="1" applyBorder="1"/>
    <xf numFmtId="16" fontId="0" fillId="0" borderId="0" xfId="0" applyNumberFormat="1" applyAlignment="1">
      <alignment horizontal="right"/>
    </xf>
    <xf numFmtId="168" fontId="6" fillId="14" borderId="106" xfId="0" applyNumberFormat="1" applyFont="1" applyFill="1" applyBorder="1"/>
    <xf numFmtId="0" fontId="9" fillId="0" borderId="26" xfId="2" applyFont="1" applyBorder="1" applyAlignment="1">
      <alignment horizontal="center" vertical="center" wrapText="1"/>
    </xf>
    <xf numFmtId="0" fontId="5" fillId="9" borderId="33" xfId="0" applyFont="1" applyFill="1" applyBorder="1" applyAlignment="1">
      <alignment horizontal="center" vertical="center" wrapText="1"/>
    </xf>
    <xf numFmtId="0" fontId="5" fillId="9" borderId="74" xfId="0" applyFont="1" applyFill="1" applyBorder="1" applyAlignment="1">
      <alignment horizontal="center" vertical="center" wrapText="1"/>
    </xf>
    <xf numFmtId="0" fontId="5" fillId="9" borderId="59" xfId="0" applyFont="1" applyFill="1" applyBorder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 wrapText="1"/>
    </xf>
    <xf numFmtId="0" fontId="46" fillId="5" borderId="54" xfId="0" applyFont="1" applyFill="1" applyBorder="1" applyAlignment="1">
      <alignment horizontal="center" vertical="center" wrapText="1"/>
    </xf>
    <xf numFmtId="0" fontId="4" fillId="5" borderId="77" xfId="0" applyFont="1" applyFill="1" applyBorder="1" applyAlignment="1">
      <alignment horizontal="center" vertical="center" wrapText="1"/>
    </xf>
    <xf numFmtId="0" fontId="32" fillId="5" borderId="52" xfId="0" applyFont="1" applyFill="1" applyBorder="1" applyAlignment="1">
      <alignment horizontal="center" vertical="center" wrapText="1"/>
    </xf>
    <xf numFmtId="0" fontId="4" fillId="5" borderId="56" xfId="0" applyFont="1" applyFill="1" applyBorder="1" applyAlignment="1">
      <alignment horizontal="center" vertical="center" wrapText="1"/>
    </xf>
    <xf numFmtId="0" fontId="4" fillId="5" borderId="51" xfId="0" applyFont="1" applyFill="1" applyBorder="1" applyAlignment="1">
      <alignment horizontal="center" vertical="center" wrapText="1"/>
    </xf>
    <xf numFmtId="1" fontId="0" fillId="0" borderId="107" xfId="0" applyNumberFormat="1" applyBorder="1"/>
    <xf numFmtId="165" fontId="3" fillId="13" borderId="57" xfId="1" applyNumberFormat="1" applyFont="1" applyFill="1" applyBorder="1" applyAlignment="1">
      <alignment horizontal="center" vertical="center" wrapText="1"/>
    </xf>
    <xf numFmtId="165" fontId="4" fillId="8" borderId="60" xfId="1" applyNumberFormat="1" applyFont="1" applyFill="1" applyBorder="1" applyAlignment="1">
      <alignment horizontal="center" vertical="center" wrapText="1"/>
    </xf>
    <xf numFmtId="165" fontId="4" fillId="8" borderId="105" xfId="1" applyNumberFormat="1" applyFont="1" applyFill="1" applyBorder="1" applyAlignment="1">
      <alignment horizontal="center" vertical="center" wrapText="1"/>
    </xf>
    <xf numFmtId="170" fontId="0" fillId="0" borderId="0" xfId="0" applyNumberFormat="1"/>
    <xf numFmtId="3" fontId="4" fillId="5" borderId="45" xfId="0" applyNumberFormat="1" applyFont="1" applyFill="1" applyBorder="1" applyAlignment="1">
      <alignment horizontal="center" vertical="center" wrapText="1"/>
    </xf>
    <xf numFmtId="3" fontId="71" fillId="0" borderId="0" xfId="0" applyNumberFormat="1" applyFont="1" applyAlignment="1">
      <alignment horizontal="left" vertical="center"/>
    </xf>
    <xf numFmtId="0" fontId="72" fillId="60" borderId="108" xfId="0" applyFont="1" applyFill="1" applyBorder="1"/>
    <xf numFmtId="3" fontId="31" fillId="0" borderId="0" xfId="0" applyNumberFormat="1" applyFont="1"/>
    <xf numFmtId="0" fontId="72" fillId="60" borderId="109" xfId="0" applyFont="1" applyFill="1" applyBorder="1"/>
    <xf numFmtId="3" fontId="72" fillId="60" borderId="109" xfId="0" applyNumberFormat="1" applyFont="1" applyFill="1" applyBorder="1"/>
    <xf numFmtId="0" fontId="32" fillId="5" borderId="0" xfId="0" applyFont="1" applyFill="1" applyAlignment="1">
      <alignment horizontal="center" vertical="center" wrapText="1"/>
    </xf>
    <xf numFmtId="0" fontId="46" fillId="5" borderId="0" xfId="0" applyFont="1" applyFill="1" applyAlignment="1">
      <alignment horizontal="center" vertical="center" wrapText="1"/>
    </xf>
    <xf numFmtId="3" fontId="73" fillId="0" borderId="0" xfId="0" applyNumberFormat="1" applyFont="1" applyAlignment="1">
      <alignment horizontal="center" vertical="center"/>
    </xf>
    <xf numFmtId="0" fontId="74" fillId="61" borderId="111" xfId="0" applyFont="1" applyFill="1" applyBorder="1" applyAlignment="1">
      <alignment horizontal="center" vertical="center"/>
    </xf>
    <xf numFmtId="3" fontId="4" fillId="5" borderId="70" xfId="0" applyNumberFormat="1" applyFont="1" applyFill="1" applyBorder="1" applyAlignment="1">
      <alignment horizontal="center" vertical="center" wrapText="1"/>
    </xf>
    <xf numFmtId="3" fontId="46" fillId="5" borderId="55" xfId="0" applyNumberFormat="1" applyFont="1" applyFill="1" applyBorder="1" applyAlignment="1">
      <alignment horizontal="center" vertical="center" wrapText="1"/>
    </xf>
    <xf numFmtId="165" fontId="6" fillId="0" borderId="0" xfId="0" applyNumberFormat="1" applyFont="1"/>
    <xf numFmtId="1" fontId="0" fillId="0" borderId="0" xfId="0" applyNumberFormat="1" applyAlignment="1">
      <alignment vertical="center"/>
    </xf>
    <xf numFmtId="0" fontId="54" fillId="35" borderId="92" xfId="0" applyFont="1" applyFill="1" applyBorder="1" applyAlignment="1">
      <alignment horizontal="center" vertical="center" wrapText="1"/>
    </xf>
    <xf numFmtId="9" fontId="6" fillId="0" borderId="0" xfId="0" applyNumberFormat="1" applyFont="1"/>
    <xf numFmtId="0" fontId="76" fillId="50" borderId="45" xfId="0" applyFont="1" applyFill="1" applyBorder="1"/>
    <xf numFmtId="0" fontId="76" fillId="50" borderId="50" xfId="0" applyFont="1" applyFill="1" applyBorder="1"/>
    <xf numFmtId="0" fontId="69" fillId="0" borderId="48" xfId="0" applyFont="1" applyBorder="1"/>
    <xf numFmtId="0" fontId="69" fillId="0" borderId="103" xfId="0" applyFont="1" applyBorder="1"/>
    <xf numFmtId="0" fontId="75" fillId="0" borderId="103" xfId="21" applyBorder="1"/>
    <xf numFmtId="0" fontId="38" fillId="0" borderId="103" xfId="0" applyFont="1" applyBorder="1"/>
    <xf numFmtId="0" fontId="69" fillId="0" borderId="103" xfId="0" applyFont="1" applyBorder="1" applyAlignment="1">
      <alignment wrapText="1"/>
    </xf>
    <xf numFmtId="0" fontId="77" fillId="0" borderId="45" xfId="0" applyFont="1" applyBorder="1"/>
    <xf numFmtId="0" fontId="77" fillId="0" borderId="50" xfId="0" applyFont="1" applyBorder="1"/>
    <xf numFmtId="0" fontId="77" fillId="0" borderId="50" xfId="0" applyFont="1" applyBorder="1" applyAlignment="1">
      <alignment wrapText="1"/>
    </xf>
    <xf numFmtId="0" fontId="75" fillId="0" borderId="13" xfId="21" applyBorder="1" applyAlignment="1">
      <alignment wrapText="1"/>
    </xf>
    <xf numFmtId="0" fontId="78" fillId="0" borderId="16" xfId="0" applyFont="1" applyBorder="1" applyAlignment="1">
      <alignment wrapText="1"/>
    </xf>
    <xf numFmtId="0" fontId="78" fillId="0" borderId="16" xfId="0" applyFont="1" applyBorder="1"/>
    <xf numFmtId="0" fontId="77" fillId="0" borderId="48" xfId="0" applyFont="1" applyBorder="1"/>
    <xf numFmtId="0" fontId="77" fillId="0" borderId="103" xfId="0" applyFont="1" applyBorder="1"/>
    <xf numFmtId="0" fontId="77" fillId="0" borderId="103" xfId="0" applyFont="1" applyBorder="1" applyAlignment="1">
      <alignment wrapText="1"/>
    </xf>
    <xf numFmtId="0" fontId="75" fillId="0" borderId="19" xfId="21" applyBorder="1" applyAlignment="1">
      <alignment wrapText="1"/>
    </xf>
    <xf numFmtId="0" fontId="78" fillId="0" borderId="21" xfId="0" applyFont="1" applyBorder="1" applyAlignment="1">
      <alignment wrapText="1"/>
    </xf>
    <xf numFmtId="0" fontId="78" fillId="0" borderId="21" xfId="0" applyFont="1" applyBorder="1"/>
    <xf numFmtId="0" fontId="77" fillId="0" borderId="47" xfId="0" applyFont="1" applyBorder="1"/>
    <xf numFmtId="0" fontId="77" fillId="0" borderId="71" xfId="0" applyFont="1" applyBorder="1"/>
    <xf numFmtId="0" fontId="77" fillId="0" borderId="71" xfId="0" applyFont="1" applyBorder="1" applyAlignment="1">
      <alignment wrapText="1"/>
    </xf>
    <xf numFmtId="0" fontId="75" fillId="0" borderId="17" xfId="21" applyBorder="1" applyAlignment="1">
      <alignment wrapText="1"/>
    </xf>
    <xf numFmtId="0" fontId="78" fillId="0" borderId="18" xfId="0" applyFont="1" applyBorder="1" applyAlignment="1">
      <alignment wrapText="1"/>
    </xf>
    <xf numFmtId="0" fontId="77" fillId="0" borderId="13" xfId="0" applyFont="1" applyBorder="1"/>
    <xf numFmtId="0" fontId="77" fillId="0" borderId="16" xfId="0" applyFont="1" applyBorder="1"/>
    <xf numFmtId="0" fontId="77" fillId="0" borderId="16" xfId="0" applyFont="1" applyBorder="1" applyAlignment="1">
      <alignment wrapText="1"/>
    </xf>
    <xf numFmtId="0" fontId="75" fillId="0" borderId="16" xfId="21" applyBorder="1"/>
    <xf numFmtId="0" fontId="77" fillId="0" borderId="19" xfId="0" applyFont="1" applyBorder="1"/>
    <xf numFmtId="0" fontId="77" fillId="0" borderId="21" xfId="0" applyFont="1" applyBorder="1"/>
    <xf numFmtId="0" fontId="77" fillId="0" borderId="21" xfId="0" applyFont="1" applyBorder="1" applyAlignment="1">
      <alignment wrapText="1"/>
    </xf>
    <xf numFmtId="0" fontId="75" fillId="0" borderId="21" xfId="21" applyBorder="1"/>
    <xf numFmtId="0" fontId="78" fillId="0" borderId="0" xfId="0" applyFont="1" applyAlignment="1">
      <alignment wrapText="1"/>
    </xf>
    <xf numFmtId="0" fontId="75" fillId="0" borderId="0" xfId="21" applyBorder="1"/>
    <xf numFmtId="0" fontId="69" fillId="0" borderId="50" xfId="0" applyFont="1" applyBorder="1"/>
    <xf numFmtId="171" fontId="79" fillId="0" borderId="0" xfId="0" applyNumberFormat="1" applyFont="1"/>
    <xf numFmtId="0" fontId="6" fillId="61" borderId="0" xfId="0" applyFont="1" applyFill="1" applyAlignment="1">
      <alignment horizontal="center"/>
    </xf>
    <xf numFmtId="0" fontId="26" fillId="29" borderId="0" xfId="5" applyFont="1" applyFill="1" applyAlignment="1">
      <alignment vertical="center"/>
    </xf>
    <xf numFmtId="165" fontId="29" fillId="30" borderId="24" xfId="6" applyNumberFormat="1" applyFont="1" applyFill="1" applyBorder="1" applyAlignment="1">
      <alignment horizontal="right"/>
    </xf>
    <xf numFmtId="165" fontId="29" fillId="0" borderId="24" xfId="6" applyNumberFormat="1" applyFont="1" applyBorder="1"/>
    <xf numFmtId="166" fontId="41" fillId="44" borderId="0" xfId="0" applyNumberFormat="1" applyFont="1" applyFill="1"/>
    <xf numFmtId="166" fontId="6" fillId="42" borderId="0" xfId="0" applyNumberFormat="1" applyFont="1" applyFill="1"/>
    <xf numFmtId="165" fontId="29" fillId="14" borderId="24" xfId="6" applyNumberFormat="1" applyFont="1" applyFill="1" applyBorder="1"/>
    <xf numFmtId="165" fontId="29" fillId="14" borderId="24" xfId="6" applyNumberFormat="1" applyFont="1" applyFill="1" applyBorder="1" applyAlignment="1">
      <alignment horizontal="right"/>
    </xf>
    <xf numFmtId="166" fontId="29" fillId="0" borderId="24" xfId="6" applyNumberFormat="1" applyFont="1" applyBorder="1"/>
    <xf numFmtId="166" fontId="29" fillId="30" borderId="24" xfId="6" applyNumberFormat="1" applyFont="1" applyFill="1" applyBorder="1" applyAlignment="1">
      <alignment horizontal="right"/>
    </xf>
    <xf numFmtId="166" fontId="29" fillId="14" borderId="24" xfId="6" applyNumberFormat="1" applyFont="1" applyFill="1" applyBorder="1"/>
    <xf numFmtId="166" fontId="29" fillId="14" borderId="24" xfId="6" applyNumberFormat="1" applyFont="1" applyFill="1" applyBorder="1" applyAlignment="1">
      <alignment horizontal="right"/>
    </xf>
    <xf numFmtId="167" fontId="29" fillId="14" borderId="24" xfId="6" applyNumberFormat="1" applyFont="1" applyFill="1" applyBorder="1"/>
    <xf numFmtId="167" fontId="29" fillId="14" borderId="24" xfId="6" applyNumberFormat="1" applyFont="1" applyFill="1" applyBorder="1" applyAlignment="1">
      <alignment horizontal="right"/>
    </xf>
    <xf numFmtId="43" fontId="41" fillId="44" borderId="0" xfId="0" applyNumberFormat="1" applyFont="1" applyFill="1"/>
    <xf numFmtId="167" fontId="6" fillId="42" borderId="0" xfId="0" applyNumberFormat="1" applyFont="1" applyFill="1"/>
    <xf numFmtId="10" fontId="6" fillId="13" borderId="0" xfId="0" applyNumberFormat="1" applyFont="1" applyFill="1"/>
    <xf numFmtId="0" fontId="41" fillId="49" borderId="0" xfId="0" applyFont="1" applyFill="1" applyAlignment="1">
      <alignment horizontal="center"/>
    </xf>
    <xf numFmtId="0" fontId="30" fillId="32" borderId="112" xfId="0" applyFont="1" applyFill="1" applyBorder="1" applyAlignment="1">
      <alignment horizontal="center"/>
    </xf>
    <xf numFmtId="0" fontId="30" fillId="43" borderId="112" xfId="0" applyFont="1" applyFill="1" applyBorder="1" applyAlignment="1">
      <alignment horizontal="center"/>
    </xf>
    <xf numFmtId="3" fontId="31" fillId="14" borderId="112" xfId="0" applyNumberFormat="1" applyFont="1" applyFill="1" applyBorder="1"/>
    <xf numFmtId="165" fontId="36" fillId="14" borderId="112" xfId="0" applyNumberFormat="1" applyFont="1" applyFill="1" applyBorder="1"/>
    <xf numFmtId="10" fontId="36" fillId="14" borderId="112" xfId="0" applyNumberFormat="1" applyFont="1" applyFill="1" applyBorder="1"/>
    <xf numFmtId="3" fontId="33" fillId="14" borderId="112" xfId="0" applyNumberFormat="1" applyFont="1" applyFill="1" applyBorder="1"/>
    <xf numFmtId="3" fontId="30" fillId="41" borderId="112" xfId="0" applyNumberFormat="1" applyFont="1" applyFill="1" applyBorder="1"/>
    <xf numFmtId="10" fontId="37" fillId="41" borderId="112" xfId="0" applyNumberFormat="1" applyFont="1" applyFill="1" applyBorder="1"/>
    <xf numFmtId="165" fontId="37" fillId="41" borderId="112" xfId="0" applyNumberFormat="1" applyFont="1" applyFill="1" applyBorder="1"/>
    <xf numFmtId="3" fontId="31" fillId="0" borderId="112" xfId="0" applyNumberFormat="1" applyFont="1" applyBorder="1"/>
    <xf numFmtId="10" fontId="36" fillId="0" borderId="112" xfId="0" applyNumberFormat="1" applyFont="1" applyBorder="1"/>
    <xf numFmtId="165" fontId="36" fillId="0" borderId="112" xfId="0" applyNumberFormat="1" applyFont="1" applyBorder="1"/>
    <xf numFmtId="169" fontId="44" fillId="0" borderId="112" xfId="0" applyNumberFormat="1" applyFont="1" applyBorder="1" applyAlignment="1">
      <alignment horizontal="center" vertical="center"/>
    </xf>
    <xf numFmtId="3" fontId="33" fillId="0" borderId="112" xfId="0" applyNumberFormat="1" applyFont="1" applyBorder="1"/>
    <xf numFmtId="3" fontId="33" fillId="5" borderId="112" xfId="0" applyNumberFormat="1" applyFont="1" applyFill="1" applyBorder="1"/>
    <xf numFmtId="0" fontId="0" fillId="0" borderId="112" xfId="0" applyBorder="1"/>
    <xf numFmtId="0" fontId="31" fillId="0" borderId="112" xfId="0" applyFont="1" applyBorder="1"/>
    <xf numFmtId="0" fontId="35" fillId="5" borderId="112" xfId="0" applyFont="1" applyFill="1" applyBorder="1"/>
    <xf numFmtId="0" fontId="31" fillId="5" borderId="112" xfId="0" applyFont="1" applyFill="1" applyBorder="1"/>
    <xf numFmtId="0" fontId="33" fillId="0" borderId="112" xfId="0" applyFont="1" applyBorder="1"/>
    <xf numFmtId="0" fontId="33" fillId="5" borderId="112" xfId="0" applyFont="1" applyFill="1" applyBorder="1"/>
    <xf numFmtId="3" fontId="31" fillId="5" borderId="112" xfId="0" applyNumberFormat="1" applyFont="1" applyFill="1" applyBorder="1"/>
    <xf numFmtId="0" fontId="31" fillId="42" borderId="40" xfId="0" applyFont="1" applyFill="1" applyBorder="1"/>
    <xf numFmtId="0" fontId="31" fillId="0" borderId="40" xfId="0" applyFont="1" applyBorder="1"/>
    <xf numFmtId="0" fontId="8" fillId="0" borderId="113" xfId="2" applyFont="1" applyBorder="1" applyAlignment="1">
      <alignment vertical="center"/>
    </xf>
    <xf numFmtId="167" fontId="29" fillId="0" borderId="25" xfId="6" applyNumberFormat="1" applyFont="1" applyBorder="1"/>
    <xf numFmtId="0" fontId="7" fillId="0" borderId="115" xfId="2" applyBorder="1"/>
    <xf numFmtId="165" fontId="29" fillId="0" borderId="25" xfId="6" applyNumberFormat="1" applyFont="1" applyBorder="1"/>
    <xf numFmtId="0" fontId="8" fillId="0" borderId="52" xfId="2" applyFont="1" applyBorder="1" applyAlignment="1">
      <alignment vertical="center"/>
    </xf>
    <xf numFmtId="166" fontId="29" fillId="0" borderId="25" xfId="6" applyNumberFormat="1" applyFont="1" applyBorder="1"/>
    <xf numFmtId="3" fontId="6" fillId="0" borderId="0" xfId="0" applyNumberFormat="1" applyFont="1"/>
    <xf numFmtId="0" fontId="5" fillId="9" borderId="45" xfId="0" applyFont="1" applyFill="1" applyBorder="1" applyAlignment="1">
      <alignment horizontal="center" vertical="center" wrapText="1"/>
    </xf>
    <xf numFmtId="3" fontId="3" fillId="3" borderId="45" xfId="0" applyNumberFormat="1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38" borderId="45" xfId="0" applyFont="1" applyFill="1" applyBorder="1" applyAlignment="1">
      <alignment horizontal="center" vertical="center" wrapText="1"/>
    </xf>
    <xf numFmtId="0" fontId="4" fillId="7" borderId="45" xfId="0" applyFont="1" applyFill="1" applyBorder="1" applyAlignment="1">
      <alignment horizontal="center" vertical="center" wrapText="1"/>
    </xf>
    <xf numFmtId="0" fontId="4" fillId="7" borderId="46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3" fontId="4" fillId="5" borderId="46" xfId="0" applyNumberFormat="1" applyFont="1" applyFill="1" applyBorder="1" applyAlignment="1">
      <alignment horizontal="center" vertical="center" wrapText="1"/>
    </xf>
    <xf numFmtId="166" fontId="0" fillId="0" borderId="46" xfId="3" applyNumberFormat="1" applyFont="1" applyBorder="1" applyAlignment="1">
      <alignment horizontal="right"/>
    </xf>
    <xf numFmtId="0" fontId="4" fillId="6" borderId="45" xfId="0" applyFont="1" applyFill="1" applyBorder="1" applyAlignment="1">
      <alignment horizontal="center" vertical="center" wrapText="1"/>
    </xf>
    <xf numFmtId="3" fontId="67" fillId="5" borderId="45" xfId="0" applyNumberFormat="1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 wrapText="1"/>
    </xf>
    <xf numFmtId="3" fontId="4" fillId="5" borderId="47" xfId="0" applyNumberFormat="1" applyFont="1" applyFill="1" applyBorder="1" applyAlignment="1">
      <alignment horizontal="center" vertical="center" wrapText="1"/>
    </xf>
    <xf numFmtId="166" fontId="4" fillId="5" borderId="104" xfId="0" applyNumberFormat="1" applyFont="1" applyFill="1" applyBorder="1" applyAlignment="1">
      <alignment horizontal="center" vertical="center" wrapText="1"/>
    </xf>
    <xf numFmtId="0" fontId="4" fillId="7" borderId="49" xfId="0" applyFont="1" applyFill="1" applyBorder="1" applyAlignment="1">
      <alignment horizontal="center" vertical="center" wrapText="1"/>
    </xf>
    <xf numFmtId="0" fontId="4" fillId="38" borderId="116" xfId="0" applyFont="1" applyFill="1" applyBorder="1" applyAlignment="1">
      <alignment horizontal="center" vertical="center" wrapText="1"/>
    </xf>
    <xf numFmtId="166" fontId="4" fillId="5" borderId="15" xfId="0" applyNumberFormat="1" applyFont="1" applyFill="1" applyBorder="1" applyAlignment="1">
      <alignment horizontal="center" vertical="center" wrapText="1"/>
    </xf>
    <xf numFmtId="166" fontId="32" fillId="5" borderId="104" xfId="0" applyNumberFormat="1" applyFont="1" applyFill="1" applyBorder="1" applyAlignment="1">
      <alignment horizontal="center" vertical="center" wrapText="1"/>
    </xf>
    <xf numFmtId="166" fontId="46" fillId="5" borderId="104" xfId="0" applyNumberFormat="1" applyFont="1" applyFill="1" applyBorder="1" applyAlignment="1">
      <alignment horizontal="center" vertical="center" wrapText="1"/>
    </xf>
    <xf numFmtId="0" fontId="4" fillId="7" borderId="116" xfId="0" applyFont="1" applyFill="1" applyBorder="1" applyAlignment="1">
      <alignment horizontal="center" vertical="center" wrapText="1"/>
    </xf>
    <xf numFmtId="3" fontId="3" fillId="3" borderId="48" xfId="0" applyNumberFormat="1" applyFont="1" applyFill="1" applyBorder="1" applyAlignment="1">
      <alignment horizontal="center" vertical="center" wrapText="1"/>
    </xf>
    <xf numFmtId="165" fontId="3" fillId="3" borderId="45" xfId="1" applyNumberFormat="1" applyFont="1" applyFill="1" applyBorder="1" applyAlignment="1">
      <alignment horizontal="center" vertical="center" wrapText="1"/>
    </xf>
    <xf numFmtId="0" fontId="0" fillId="0" borderId="116" xfId="0" applyBorder="1"/>
    <xf numFmtId="0" fontId="0" fillId="0" borderId="15" xfId="0" applyBorder="1"/>
    <xf numFmtId="0" fontId="0" fillId="0" borderId="119" xfId="0" applyBorder="1"/>
    <xf numFmtId="165" fontId="43" fillId="5" borderId="45" xfId="0" applyNumberFormat="1" applyFont="1" applyFill="1" applyBorder="1" applyAlignment="1">
      <alignment horizontal="center" wrapText="1"/>
    </xf>
    <xf numFmtId="165" fontId="59" fillId="5" borderId="45" xfId="0" applyNumberFormat="1" applyFont="1" applyFill="1" applyBorder="1" applyAlignment="1">
      <alignment horizontal="center" wrapText="1"/>
    </xf>
    <xf numFmtId="165" fontId="30" fillId="31" borderId="45" xfId="0" applyNumberFormat="1" applyFont="1" applyFill="1" applyBorder="1" applyAlignment="1">
      <alignment horizontal="center" wrapText="1"/>
    </xf>
    <xf numFmtId="165" fontId="3" fillId="3" borderId="46" xfId="1" applyNumberFormat="1" applyFont="1" applyFill="1" applyBorder="1" applyAlignment="1">
      <alignment horizontal="center" vertical="center" wrapText="1"/>
    </xf>
    <xf numFmtId="165" fontId="31" fillId="5" borderId="46" xfId="0" applyNumberFormat="1" applyFont="1" applyFill="1" applyBorder="1" applyAlignment="1">
      <alignment horizontal="center" wrapText="1"/>
    </xf>
    <xf numFmtId="165" fontId="31" fillId="5" borderId="47" xfId="0" applyNumberFormat="1" applyFont="1" applyFill="1" applyBorder="1" applyAlignment="1">
      <alignment horizontal="center" wrapText="1"/>
    </xf>
    <xf numFmtId="165" fontId="43" fillId="5" borderId="48" xfId="0" applyNumberFormat="1" applyFont="1" applyFill="1" applyBorder="1" applyAlignment="1">
      <alignment horizontal="center" wrapText="1"/>
    </xf>
    <xf numFmtId="165" fontId="59" fillId="5" borderId="104" xfId="0" applyNumberFormat="1" applyFont="1" applyFill="1" applyBorder="1" applyAlignment="1">
      <alignment horizontal="center" wrapText="1"/>
    </xf>
    <xf numFmtId="165" fontId="43" fillId="5" borderId="47" xfId="0" applyNumberFormat="1" applyFont="1" applyFill="1" applyBorder="1" applyAlignment="1">
      <alignment horizontal="center" wrapText="1"/>
    </xf>
    <xf numFmtId="0" fontId="4" fillId="5" borderId="119" xfId="0" applyFont="1" applyFill="1" applyBorder="1" applyAlignment="1">
      <alignment horizontal="center" vertical="center" wrapText="1"/>
    </xf>
    <xf numFmtId="0" fontId="4" fillId="5" borderId="71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165" fontId="59" fillId="5" borderId="15" xfId="0" applyNumberFormat="1" applyFont="1" applyFill="1" applyBorder="1" applyAlignment="1">
      <alignment horizontal="center" wrapText="1"/>
    </xf>
    <xf numFmtId="165" fontId="31" fillId="32" borderId="20" xfId="0" applyNumberFormat="1" applyFont="1" applyFill="1" applyBorder="1" applyAlignment="1">
      <alignment horizontal="center"/>
    </xf>
    <xf numFmtId="165" fontId="30" fillId="10" borderId="48" xfId="0" applyNumberFormat="1" applyFont="1" applyFill="1" applyBorder="1" applyAlignment="1">
      <alignment horizontal="center"/>
    </xf>
    <xf numFmtId="165" fontId="43" fillId="5" borderId="46" xfId="0" applyNumberFormat="1" applyFont="1" applyFill="1" applyBorder="1" applyAlignment="1">
      <alignment horizontal="center" wrapText="1"/>
    </xf>
    <xf numFmtId="165" fontId="30" fillId="10" borderId="47" xfId="0" applyNumberFormat="1" applyFont="1" applyFill="1" applyBorder="1" applyAlignment="1">
      <alignment horizontal="center"/>
    </xf>
    <xf numFmtId="0" fontId="31" fillId="32" borderId="45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 vertical="center" wrapText="1"/>
    </xf>
    <xf numFmtId="0" fontId="31" fillId="32" borderId="119" xfId="0" applyFont="1" applyFill="1" applyBorder="1" applyAlignment="1">
      <alignment horizontal="center"/>
    </xf>
    <xf numFmtId="165" fontId="43" fillId="5" borderId="49" xfId="0" applyNumberFormat="1" applyFont="1" applyFill="1" applyBorder="1" applyAlignment="1">
      <alignment horizontal="center" wrapText="1"/>
    </xf>
    <xf numFmtId="165" fontId="43" fillId="5" borderId="104" xfId="0" applyNumberFormat="1" applyFont="1" applyFill="1" applyBorder="1" applyAlignment="1">
      <alignment horizontal="center" wrapText="1"/>
    </xf>
    <xf numFmtId="165" fontId="43" fillId="5" borderId="20" xfId="0" applyNumberFormat="1" applyFont="1" applyFill="1" applyBorder="1" applyAlignment="1">
      <alignment horizontal="center" wrapText="1"/>
    </xf>
    <xf numFmtId="165" fontId="68" fillId="5" borderId="15" xfId="0" applyNumberFormat="1" applyFont="1" applyFill="1" applyBorder="1" applyAlignment="1">
      <alignment horizontal="center" wrapText="1"/>
    </xf>
    <xf numFmtId="165" fontId="43" fillId="5" borderId="15" xfId="0" applyNumberFormat="1" applyFont="1" applyFill="1" applyBorder="1" applyAlignment="1">
      <alignment horizontal="center" wrapText="1"/>
    </xf>
    <xf numFmtId="165" fontId="42" fillId="9" borderId="45" xfId="0" applyNumberFormat="1" applyFont="1" applyFill="1" applyBorder="1" applyAlignment="1">
      <alignment horizontal="center" wrapText="1"/>
    </xf>
    <xf numFmtId="165" fontId="42" fillId="9" borderId="50" xfId="0" applyNumberFormat="1" applyFont="1" applyFill="1" applyBorder="1" applyAlignment="1">
      <alignment horizontal="center" wrapText="1"/>
    </xf>
    <xf numFmtId="9" fontId="3" fillId="54" borderId="103" xfId="1" applyFont="1" applyFill="1" applyBorder="1" applyAlignment="1">
      <alignment horizontal="center" vertical="center" wrapText="1"/>
    </xf>
    <xf numFmtId="9" fontId="3" fillId="54" borderId="45" xfId="1" applyFont="1" applyFill="1" applyBorder="1" applyAlignment="1">
      <alignment horizontal="center" vertical="center" wrapText="1"/>
    </xf>
    <xf numFmtId="165" fontId="68" fillId="5" borderId="46" xfId="0" applyNumberFormat="1" applyFont="1" applyFill="1" applyBorder="1" applyAlignment="1">
      <alignment horizontal="center" wrapText="1"/>
    </xf>
    <xf numFmtId="9" fontId="3" fillId="54" borderId="46" xfId="1" applyFont="1" applyFill="1" applyBorder="1" applyAlignment="1">
      <alignment horizontal="center" vertical="center" wrapText="1"/>
    </xf>
    <xf numFmtId="9" fontId="3" fillId="54" borderId="20" xfId="1" applyFont="1" applyFill="1" applyBorder="1" applyAlignment="1">
      <alignment horizontal="center" vertical="center" wrapText="1"/>
    </xf>
    <xf numFmtId="165" fontId="42" fillId="9" borderId="71" xfId="0" applyNumberFormat="1" applyFont="1" applyFill="1" applyBorder="1" applyAlignment="1">
      <alignment horizontal="center" wrapText="1"/>
    </xf>
    <xf numFmtId="0" fontId="41" fillId="46" borderId="103" xfId="0" applyFont="1" applyFill="1" applyBorder="1" applyAlignment="1">
      <alignment horizontal="center" vertical="center" wrapText="1"/>
    </xf>
    <xf numFmtId="0" fontId="41" fillId="46" borderId="48" xfId="0" applyFont="1" applyFill="1" applyBorder="1" applyAlignment="1">
      <alignment horizontal="center" vertical="center" wrapText="1"/>
    </xf>
    <xf numFmtId="9" fontId="3" fillId="54" borderId="50" xfId="1" applyFont="1" applyFill="1" applyBorder="1" applyAlignment="1">
      <alignment horizontal="center" vertical="center" wrapText="1"/>
    </xf>
    <xf numFmtId="0" fontId="4" fillId="6" borderId="46" xfId="0" applyFont="1" applyFill="1" applyBorder="1" applyAlignment="1">
      <alignment horizontal="center" vertical="center" wrapText="1"/>
    </xf>
    <xf numFmtId="0" fontId="4" fillId="56" borderId="47" xfId="0" applyFont="1" applyFill="1" applyBorder="1" applyAlignment="1">
      <alignment horizontal="center" vertical="center" wrapText="1"/>
    </xf>
    <xf numFmtId="0" fontId="4" fillId="56" borderId="48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5" fillId="9" borderId="120" xfId="0" applyFont="1" applyFill="1" applyBorder="1" applyAlignment="1">
      <alignment horizontal="center" vertical="center" wrapText="1"/>
    </xf>
    <xf numFmtId="3" fontId="4" fillId="5" borderId="121" xfId="0" applyNumberFormat="1" applyFont="1" applyFill="1" applyBorder="1" applyAlignment="1">
      <alignment horizontal="center" vertical="center" wrapText="1"/>
    </xf>
    <xf numFmtId="0" fontId="4" fillId="5" borderId="69" xfId="0" applyFont="1" applyFill="1" applyBorder="1" applyAlignment="1">
      <alignment horizontal="center" vertical="center" wrapText="1"/>
    </xf>
    <xf numFmtId="1" fontId="4" fillId="5" borderId="87" xfId="0" applyNumberFormat="1" applyFont="1" applyFill="1" applyBorder="1" applyAlignment="1">
      <alignment horizontal="center" vertical="center" wrapText="1"/>
    </xf>
    <xf numFmtId="0" fontId="32" fillId="5" borderId="32" xfId="0" applyFont="1" applyFill="1" applyBorder="1" applyAlignment="1">
      <alignment horizontal="center" vertical="center" wrapText="1"/>
    </xf>
    <xf numFmtId="0" fontId="4" fillId="5" borderId="121" xfId="0" applyFont="1" applyFill="1" applyBorder="1" applyAlignment="1">
      <alignment horizontal="center" vertical="center" wrapText="1"/>
    </xf>
    <xf numFmtId="0" fontId="0" fillId="0" borderId="33" xfId="0" applyBorder="1"/>
    <xf numFmtId="0" fontId="4" fillId="5" borderId="87" xfId="0" applyFont="1" applyFill="1" applyBorder="1" applyAlignment="1">
      <alignment horizontal="center" vertical="center" wrapText="1"/>
    </xf>
    <xf numFmtId="0" fontId="80" fillId="0" borderId="70" xfId="0" applyFont="1" applyBorder="1" applyAlignment="1">
      <alignment horizontal="left" vertical="center"/>
    </xf>
    <xf numFmtId="0" fontId="80" fillId="0" borderId="52" xfId="0" applyFont="1" applyBorder="1" applyAlignment="1">
      <alignment horizontal="left" vertical="center"/>
    </xf>
    <xf numFmtId="0" fontId="6" fillId="0" borderId="70" xfId="0" applyFont="1" applyBorder="1" applyAlignment="1">
      <alignment horizontal="center" vertical="center"/>
    </xf>
    <xf numFmtId="0" fontId="6" fillId="0" borderId="114" xfId="0" applyFont="1" applyBorder="1" applyAlignment="1">
      <alignment horizontal="center" vertical="center"/>
    </xf>
    <xf numFmtId="0" fontId="42" fillId="9" borderId="117" xfId="0" applyFont="1" applyFill="1" applyBorder="1" applyAlignment="1">
      <alignment wrapText="1"/>
    </xf>
    <xf numFmtId="0" fontId="42" fillId="9" borderId="0" xfId="0" applyFont="1" applyFill="1" applyAlignment="1">
      <alignment wrapText="1"/>
    </xf>
    <xf numFmtId="0" fontId="31" fillId="5" borderId="117" xfId="0" applyFont="1" applyFill="1" applyBorder="1" applyAlignment="1">
      <alignment horizontal="center" vertical="center" wrapText="1"/>
    </xf>
    <xf numFmtId="0" fontId="31" fillId="5" borderId="118" xfId="0" applyFont="1" applyFill="1" applyBorder="1" applyAlignment="1">
      <alignment horizontal="center" vertical="center" wrapText="1"/>
    </xf>
    <xf numFmtId="0" fontId="41" fillId="55" borderId="49" xfId="0" applyFont="1" applyFill="1" applyBorder="1" applyAlignment="1">
      <alignment horizontal="center" vertical="center" wrapText="1"/>
    </xf>
    <xf numFmtId="0" fontId="41" fillId="55" borderId="116" xfId="0" applyFont="1" applyFill="1" applyBorder="1" applyAlignment="1">
      <alignment horizontal="center" vertical="center" wrapText="1"/>
    </xf>
    <xf numFmtId="0" fontId="41" fillId="55" borderId="48" xfId="0" applyFont="1" applyFill="1" applyBorder="1" applyAlignment="1">
      <alignment horizontal="center" vertical="center" wrapText="1"/>
    </xf>
    <xf numFmtId="0" fontId="41" fillId="55" borderId="104" xfId="0" applyFont="1" applyFill="1" applyBorder="1" applyAlignment="1">
      <alignment horizontal="center" vertical="center" wrapText="1"/>
    </xf>
    <xf numFmtId="0" fontId="41" fillId="55" borderId="50" xfId="0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3" fillId="54" borderId="116" xfId="0" applyFont="1" applyFill="1" applyBorder="1" applyAlignment="1">
      <alignment horizontal="center" vertical="center" wrapText="1"/>
    </xf>
    <xf numFmtId="0" fontId="3" fillId="54" borderId="119" xfId="0" applyFont="1" applyFill="1" applyBorder="1" applyAlignment="1">
      <alignment horizontal="center" vertical="center" wrapText="1"/>
    </xf>
    <xf numFmtId="0" fontId="3" fillId="54" borderId="49" xfId="0" applyFont="1" applyFill="1" applyBorder="1" applyAlignment="1">
      <alignment horizontal="center" vertical="center" wrapText="1"/>
    </xf>
    <xf numFmtId="0" fontId="5" fillId="9" borderId="45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17" fontId="9" fillId="0" borderId="74" xfId="2" applyNumberFormat="1" applyFont="1" applyBorder="1" applyAlignment="1">
      <alignment horizontal="center" vertical="top"/>
    </xf>
    <xf numFmtId="17" fontId="9" fillId="0" borderId="34" xfId="2" applyNumberFormat="1" applyFont="1" applyBorder="1" applyAlignment="1">
      <alignment horizontal="center" vertical="top"/>
    </xf>
    <xf numFmtId="17" fontId="9" fillId="0" borderId="87" xfId="2" applyNumberFormat="1" applyFont="1" applyBorder="1" applyAlignment="1">
      <alignment horizontal="center" vertical="top"/>
    </xf>
    <xf numFmtId="0" fontId="6" fillId="9" borderId="83" xfId="0" applyFont="1" applyFill="1" applyBorder="1" applyAlignment="1">
      <alignment horizontal="center"/>
    </xf>
    <xf numFmtId="0" fontId="6" fillId="9" borderId="64" xfId="0" applyFont="1" applyFill="1" applyBorder="1" applyAlignment="1">
      <alignment horizontal="center"/>
    </xf>
    <xf numFmtId="0" fontId="6" fillId="9" borderId="73" xfId="0" applyFont="1" applyFill="1" applyBorder="1" applyAlignment="1">
      <alignment horizontal="center"/>
    </xf>
    <xf numFmtId="0" fontId="5" fillId="9" borderId="46" xfId="0" applyFont="1" applyFill="1" applyBorder="1" applyAlignment="1">
      <alignment horizontal="center" vertical="center" wrapText="1"/>
    </xf>
    <xf numFmtId="0" fontId="5" fillId="9" borderId="48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4" fillId="4" borderId="117" xfId="0" applyFont="1" applyFill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/>
    </xf>
    <xf numFmtId="0" fontId="8" fillId="0" borderId="69" xfId="2" applyFont="1" applyBorder="1" applyAlignment="1">
      <alignment horizontal="center" vertical="center"/>
    </xf>
    <xf numFmtId="0" fontId="6" fillId="11" borderId="63" xfId="0" applyFont="1" applyFill="1" applyBorder="1" applyAlignment="1">
      <alignment horizontal="center" vertical="center" wrapText="1"/>
    </xf>
    <xf numFmtId="0" fontId="6" fillId="11" borderId="73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9" fillId="11" borderId="4" xfId="2" applyFont="1" applyFill="1" applyBorder="1" applyAlignment="1">
      <alignment horizontal="center"/>
    </xf>
    <xf numFmtId="0" fontId="9" fillId="11" borderId="12" xfId="2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1" fillId="55" borderId="45" xfId="0" applyFont="1" applyFill="1" applyBorder="1" applyAlignment="1">
      <alignment horizontal="center" vertical="center" wrapText="1"/>
    </xf>
    <xf numFmtId="0" fontId="9" fillId="11" borderId="10" xfId="2" applyFont="1" applyFill="1" applyBorder="1" applyAlignment="1">
      <alignment horizontal="center"/>
    </xf>
    <xf numFmtId="0" fontId="30" fillId="31" borderId="46" xfId="0" applyFont="1" applyFill="1" applyBorder="1" applyAlignment="1">
      <alignment wrapText="1"/>
    </xf>
    <xf numFmtId="0" fontId="31" fillId="5" borderId="46" xfId="0" applyFont="1" applyFill="1" applyBorder="1" applyAlignment="1">
      <alignment horizontal="center" vertical="center" wrapText="1"/>
    </xf>
    <xf numFmtId="16" fontId="6" fillId="13" borderId="112" xfId="0" applyNumberFormat="1" applyFont="1" applyFill="1" applyBorder="1" applyAlignment="1">
      <alignment horizontal="center"/>
    </xf>
    <xf numFmtId="0" fontId="31" fillId="42" borderId="37" xfId="0" applyFont="1" applyFill="1" applyBorder="1" applyAlignment="1">
      <alignment vertical="center"/>
    </xf>
    <xf numFmtId="0" fontId="31" fillId="42" borderId="35" xfId="0" applyFont="1" applyFill="1" applyBorder="1" applyAlignment="1">
      <alignment vertical="center"/>
    </xf>
    <xf numFmtId="0" fontId="30" fillId="34" borderId="112" xfId="0" applyFont="1" applyFill="1" applyBorder="1" applyAlignment="1">
      <alignment horizontal="center"/>
    </xf>
    <xf numFmtId="0" fontId="30" fillId="37" borderId="112" xfId="0" applyFont="1" applyFill="1" applyBorder="1" applyAlignment="1">
      <alignment horizontal="center"/>
    </xf>
    <xf numFmtId="0" fontId="30" fillId="58" borderId="112" xfId="0" applyFont="1" applyFill="1" applyBorder="1" applyAlignment="1">
      <alignment horizontal="center"/>
    </xf>
    <xf numFmtId="0" fontId="30" fillId="36" borderId="112" xfId="0" applyFont="1" applyFill="1" applyBorder="1" applyAlignment="1">
      <alignment horizontal="center"/>
    </xf>
    <xf numFmtId="0" fontId="58" fillId="57" borderId="29" xfId="0" applyFont="1" applyFill="1" applyBorder="1" applyAlignment="1">
      <alignment horizontal="center" vertical="center"/>
    </xf>
    <xf numFmtId="0" fontId="58" fillId="57" borderId="35" xfId="0" applyFont="1" applyFill="1" applyBorder="1" applyAlignment="1">
      <alignment horizontal="center" vertical="center"/>
    </xf>
    <xf numFmtId="0" fontId="58" fillId="57" borderId="42" xfId="0" applyFont="1" applyFill="1" applyBorder="1" applyAlignment="1">
      <alignment horizontal="center" vertical="center"/>
    </xf>
    <xf numFmtId="0" fontId="58" fillId="57" borderId="43" xfId="0" applyFont="1" applyFill="1" applyBorder="1" applyAlignment="1">
      <alignment horizontal="center" vertical="center"/>
    </xf>
    <xf numFmtId="0" fontId="31" fillId="0" borderId="42" xfId="0" applyFont="1" applyBorder="1" applyAlignment="1">
      <alignment horizontal="left" vertical="center"/>
    </xf>
    <xf numFmtId="0" fontId="31" fillId="0" borderId="39" xfId="0" applyFont="1" applyBorder="1" applyAlignment="1">
      <alignment horizontal="left" vertical="center"/>
    </xf>
    <xf numFmtId="0" fontId="31" fillId="0" borderId="43" xfId="0" applyFont="1" applyBorder="1" applyAlignment="1">
      <alignment horizontal="left" vertical="center"/>
    </xf>
    <xf numFmtId="0" fontId="31" fillId="0" borderId="37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34" fillId="33" borderId="112" xfId="0" applyFont="1" applyFill="1" applyBorder="1" applyAlignment="1">
      <alignment horizontal="center"/>
    </xf>
    <xf numFmtId="0" fontId="31" fillId="12" borderId="37" xfId="0" applyFont="1" applyFill="1" applyBorder="1" applyAlignment="1">
      <alignment vertical="center"/>
    </xf>
    <xf numFmtId="0" fontId="31" fillId="12" borderId="35" xfId="0" applyFont="1" applyFill="1" applyBorder="1" applyAlignment="1">
      <alignment vertical="center"/>
    </xf>
    <xf numFmtId="0" fontId="30" fillId="35" borderId="112" xfId="0" applyFont="1" applyFill="1" applyBorder="1" applyAlignment="1">
      <alignment horizontal="center"/>
    </xf>
    <xf numFmtId="0" fontId="31" fillId="0" borderId="41" xfId="0" applyFont="1" applyBorder="1" applyAlignment="1">
      <alignment horizontal="left" vertical="center"/>
    </xf>
    <xf numFmtId="0" fontId="31" fillId="0" borderId="40" xfId="0" applyFont="1" applyBorder="1" applyAlignment="1">
      <alignment horizontal="left" vertical="center"/>
    </xf>
    <xf numFmtId="0" fontId="0" fillId="0" borderId="50" xfId="0" applyBorder="1" applyAlignment="1">
      <alignment horizontal="center" vertical="center"/>
    </xf>
    <xf numFmtId="0" fontId="6" fillId="40" borderId="104" xfId="0" applyFont="1" applyFill="1" applyBorder="1" applyAlignment="1">
      <alignment horizontal="center" vertical="center"/>
    </xf>
    <xf numFmtId="0" fontId="6" fillId="40" borderId="50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40" borderId="49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52" fillId="46" borderId="110" xfId="0" applyFont="1" applyFill="1" applyBorder="1" applyAlignment="1">
      <alignment horizontal="center"/>
    </xf>
    <xf numFmtId="0" fontId="52" fillId="49" borderId="90" xfId="0" applyFont="1" applyFill="1" applyBorder="1" applyAlignment="1">
      <alignment horizontal="center"/>
    </xf>
    <xf numFmtId="0" fontId="26" fillId="29" borderId="0" xfId="5" applyFont="1" applyFill="1" applyAlignment="1">
      <alignment horizontal="center" vertical="center" wrapText="1"/>
    </xf>
    <xf numFmtId="0" fontId="26" fillId="29" borderId="25" xfId="5" applyFont="1" applyFill="1" applyBorder="1" applyAlignment="1">
      <alignment horizontal="center" vertical="center"/>
    </xf>
    <xf numFmtId="164" fontId="25" fillId="21" borderId="23" xfId="19" applyNumberFormat="1" applyBorder="1" applyAlignment="1">
      <alignment horizontal="center" vertical="center"/>
    </xf>
    <xf numFmtId="164" fontId="25" fillId="26" borderId="22" xfId="20" applyNumberFormat="1" applyBorder="1" applyAlignment="1">
      <alignment horizontal="center" vertical="center"/>
    </xf>
    <xf numFmtId="164" fontId="25" fillId="26" borderId="23" xfId="20" applyNumberFormat="1" applyBorder="1" applyAlignment="1">
      <alignment horizontal="center" vertical="center"/>
    </xf>
    <xf numFmtId="0" fontId="26" fillId="29" borderId="0" xfId="5" applyFont="1" applyFill="1" applyAlignment="1">
      <alignment horizontal="center" vertical="center"/>
    </xf>
    <xf numFmtId="0" fontId="41" fillId="44" borderId="0" xfId="0" applyFont="1" applyFill="1" applyAlignment="1">
      <alignment horizontal="center"/>
    </xf>
    <xf numFmtId="0" fontId="30" fillId="41" borderId="38" xfId="0" applyFont="1" applyFill="1" applyBorder="1" applyAlignment="1"/>
    <xf numFmtId="0" fontId="30" fillId="41" borderId="36" xfId="0" applyFont="1" applyFill="1" applyBorder="1" applyAlignment="1"/>
  </cellXfs>
  <cellStyles count="22">
    <cellStyle name="20% - Accent1 2" xfId="18" xr:uid="{00000000-0005-0000-0000-000000000000}"/>
    <cellStyle name="20% - Accent2 2" xfId="13" xr:uid="{00000000-0005-0000-0000-000001000000}"/>
    <cellStyle name="40% - Accent1 2" xfId="11" xr:uid="{00000000-0005-0000-0000-000002000000}"/>
    <cellStyle name="40% - Accent2 2" xfId="14" xr:uid="{00000000-0005-0000-0000-000003000000}"/>
    <cellStyle name="60% - Accent1 2" xfId="19" xr:uid="{00000000-0005-0000-0000-000004000000}"/>
    <cellStyle name="60% - Accent2 2" xfId="15" xr:uid="{00000000-0005-0000-0000-000005000000}"/>
    <cellStyle name="Accent1 2" xfId="17" xr:uid="{00000000-0005-0000-0000-000006000000}"/>
    <cellStyle name="Accent2 2" xfId="12" xr:uid="{00000000-0005-0000-0000-000007000000}"/>
    <cellStyle name="Accent5 2" xfId="20" xr:uid="{00000000-0005-0000-0000-000008000000}"/>
    <cellStyle name="Accent6 2" xfId="16" xr:uid="{00000000-0005-0000-0000-000009000000}"/>
    <cellStyle name="Bad 2" xfId="9" xr:uid="{00000000-0005-0000-0000-00000A000000}"/>
    <cellStyle name="Comma" xfId="3" builtinId="3"/>
    <cellStyle name="Comma 2" xfId="6" xr:uid="{00000000-0005-0000-0000-00000C000000}"/>
    <cellStyle name="Good 2" xfId="8" xr:uid="{00000000-0005-0000-0000-00000D000000}"/>
    <cellStyle name="Hyperlink" xfId="21" builtinId="8"/>
    <cellStyle name="Neutral 2" xfId="10" xr:uid="{00000000-0005-0000-0000-00000E000000}"/>
    <cellStyle name="Normal" xfId="0" builtinId="0"/>
    <cellStyle name="Normal 2" xfId="2" xr:uid="{00000000-0005-0000-0000-000010000000}"/>
    <cellStyle name="Normal 2 2 2" xfId="4" xr:uid="{00000000-0005-0000-0000-000011000000}"/>
    <cellStyle name="Normal 3" xfId="5" xr:uid="{00000000-0005-0000-0000-000012000000}"/>
    <cellStyle name="Percent" xfId="1" builtinId="5"/>
    <cellStyle name="Percent 2" xfId="7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hong.le@hoanmy.com" TargetMode="External"/><Relationship Id="rId13" Type="http://schemas.openxmlformats.org/officeDocument/2006/relationships/hyperlink" Target="mailto:quoc.nguyen3@hoanmy.com" TargetMode="External"/><Relationship Id="rId18" Type="http://schemas.openxmlformats.org/officeDocument/2006/relationships/hyperlink" Target="mailto:loi.phan@hoanmy.com" TargetMode="External"/><Relationship Id="rId3" Type="http://schemas.openxmlformats.org/officeDocument/2006/relationships/hyperlink" Target="mailto:tram.mai@hoanmy.com" TargetMode="External"/><Relationship Id="rId21" Type="http://schemas.openxmlformats.org/officeDocument/2006/relationships/hyperlink" Target="mailto:cao.tran1@hoanmy.com" TargetMode="External"/><Relationship Id="rId7" Type="http://schemas.openxmlformats.org/officeDocument/2006/relationships/hyperlink" Target="mailto:khanh.tran@hoanmy.com" TargetMode="External"/><Relationship Id="rId12" Type="http://schemas.openxmlformats.org/officeDocument/2006/relationships/hyperlink" Target="mailto:anh.ngo@hoanmy.com" TargetMode="External"/><Relationship Id="rId17" Type="http://schemas.openxmlformats.org/officeDocument/2006/relationships/hyperlink" Target="mailto:ngoc.le1@hoanmy.com" TargetMode="External"/><Relationship Id="rId2" Type="http://schemas.openxmlformats.org/officeDocument/2006/relationships/hyperlink" Target="mailto:vuong.duong@hoanmy.com" TargetMode="External"/><Relationship Id="rId16" Type="http://schemas.openxmlformats.org/officeDocument/2006/relationships/hyperlink" Target="mailto:tien.bui@hoanmy.com" TargetMode="External"/><Relationship Id="rId20" Type="http://schemas.openxmlformats.org/officeDocument/2006/relationships/hyperlink" Target="mailto:kim.nguyen1@hoanmy.com" TargetMode="External"/><Relationship Id="rId1" Type="http://schemas.openxmlformats.org/officeDocument/2006/relationships/hyperlink" Target="mailto:luan.tran@hoanmy.com" TargetMode="External"/><Relationship Id="rId6" Type="http://schemas.openxmlformats.org/officeDocument/2006/relationships/hyperlink" Target="mailto:dat.luong@hoanmy.com" TargetMode="External"/><Relationship Id="rId11" Type="http://schemas.openxmlformats.org/officeDocument/2006/relationships/hyperlink" Target="mailto:truc.nguyen3@hoanmy.com" TargetMode="External"/><Relationship Id="rId5" Type="http://schemas.openxmlformats.org/officeDocument/2006/relationships/hyperlink" Target="mailto:hoang.vo4@hoanmy.com" TargetMode="External"/><Relationship Id="rId15" Type="http://schemas.openxmlformats.org/officeDocument/2006/relationships/hyperlink" Target="mailto:tri.nguyen5@hoanmy.com" TargetMode="External"/><Relationship Id="rId10" Type="http://schemas.openxmlformats.org/officeDocument/2006/relationships/hyperlink" Target="mailto:thuy.pham@hoanmy.com" TargetMode="External"/><Relationship Id="rId19" Type="http://schemas.openxmlformats.org/officeDocument/2006/relationships/hyperlink" Target="mailto:Huong.nguyen24@hoanmy.com" TargetMode="External"/><Relationship Id="rId4" Type="http://schemas.openxmlformats.org/officeDocument/2006/relationships/hyperlink" Target="mailto:trang.nguyen9@hoanmy.com" TargetMode="External"/><Relationship Id="rId9" Type="http://schemas.openxmlformats.org/officeDocument/2006/relationships/hyperlink" Target="mailto:quynh.bui@hoanmy.com" TargetMode="External"/><Relationship Id="rId14" Type="http://schemas.openxmlformats.org/officeDocument/2006/relationships/hyperlink" Target="mailto:linh.pham8@hoan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P76"/>
  <sheetViews>
    <sheetView tabSelected="1" topLeftCell="OY8" zoomScale="80" zoomScaleNormal="80" workbookViewId="0">
      <selection activeCell="PH23" sqref="PH23"/>
    </sheetView>
  </sheetViews>
  <sheetFormatPr defaultColWidth="9.25" defaultRowHeight="15" customHeight="1"/>
  <cols>
    <col min="1" max="1" width="4.125" customWidth="1"/>
    <col min="2" max="2" width="10.75" bestFit="1" customWidth="1"/>
    <col min="3" max="3" width="12.375" customWidth="1"/>
    <col min="4" max="4" width="6.75" bestFit="1" customWidth="1"/>
    <col min="5" max="5" width="9" bestFit="1" customWidth="1"/>
    <col min="6" max="6" width="9.125" customWidth="1"/>
    <col min="7" max="7" width="8.625" customWidth="1"/>
    <col min="8" max="8" width="10.625" customWidth="1"/>
    <col min="9" max="9" width="0.125" customWidth="1"/>
    <col min="10" max="10" width="9.375" customWidth="1"/>
    <col min="11" max="11" width="9.5" customWidth="1"/>
    <col min="12" max="12" width="11.875" customWidth="1"/>
    <col min="13" max="13" width="8.75" customWidth="1"/>
    <col min="14" max="14" width="9.25" customWidth="1"/>
    <col min="15" max="15" width="9.5" customWidth="1"/>
    <col min="16" max="16" width="9.25" customWidth="1"/>
    <col min="17" max="17" width="9.5" customWidth="1"/>
    <col min="18" max="18" width="11" customWidth="1"/>
    <col min="19" max="77" width="13.25" hidden="1" customWidth="1"/>
    <col min="78" max="78" width="12.5" hidden="1" customWidth="1"/>
    <col min="79" max="79" width="13.875" hidden="1" customWidth="1"/>
    <col min="80" max="80" width="15.375" hidden="1" customWidth="1"/>
    <col min="81" max="81" width="14.375" hidden="1" customWidth="1"/>
    <col min="82" max="82" width="13.875" hidden="1" customWidth="1"/>
    <col min="83" max="88" width="13.375" hidden="1" customWidth="1"/>
    <col min="89" max="89" width="13.25" hidden="1" customWidth="1"/>
    <col min="90" max="90" width="13.375" hidden="1" customWidth="1"/>
    <col min="91" max="92" width="13.875" hidden="1" customWidth="1"/>
    <col min="93" max="94" width="13.75" hidden="1" customWidth="1"/>
    <col min="95" max="95" width="15.375" hidden="1" customWidth="1"/>
    <col min="96" max="96" width="15.5" hidden="1" customWidth="1"/>
    <col min="97" max="97" width="13.25" hidden="1" customWidth="1"/>
    <col min="98" max="99" width="13.875" hidden="1" customWidth="1"/>
    <col min="100" max="100" width="13.75" hidden="1" customWidth="1"/>
    <col min="101" max="101" width="14.125" hidden="1" customWidth="1"/>
    <col min="102" max="102" width="13.75" hidden="1" customWidth="1"/>
    <col min="103" max="103" width="15.875" hidden="1" customWidth="1"/>
    <col min="104" max="104" width="15.75" hidden="1" customWidth="1"/>
    <col min="105" max="105" width="13.875" hidden="1" customWidth="1"/>
    <col min="106" max="106" width="15.75" hidden="1" customWidth="1"/>
    <col min="107" max="107" width="14.625" hidden="1" customWidth="1"/>
    <col min="108" max="108" width="15.125" hidden="1" customWidth="1"/>
    <col min="109" max="117" width="13.375" hidden="1" customWidth="1"/>
    <col min="118" max="127" width="15.125" hidden="1" customWidth="1"/>
    <col min="128" max="128" width="15.875" hidden="1" customWidth="1"/>
    <col min="129" max="137" width="15.125" hidden="1" customWidth="1"/>
    <col min="138" max="138" width="13.375" hidden="1" customWidth="1"/>
    <col min="139" max="149" width="12.75" hidden="1" customWidth="1"/>
    <col min="150" max="151" width="13.125" hidden="1" customWidth="1"/>
    <col min="152" max="156" width="13" hidden="1" customWidth="1"/>
    <col min="157" max="157" width="12.5" hidden="1" customWidth="1"/>
    <col min="158" max="158" width="12.75" hidden="1" customWidth="1"/>
    <col min="159" max="159" width="12.375" hidden="1" customWidth="1"/>
    <col min="160" max="160" width="13.75" hidden="1" customWidth="1"/>
    <col min="161" max="161" width="12.5" hidden="1" customWidth="1"/>
    <col min="162" max="162" width="13.625" hidden="1" customWidth="1"/>
    <col min="163" max="163" width="13.5" hidden="1" customWidth="1"/>
    <col min="164" max="164" width="12.625" hidden="1" customWidth="1"/>
    <col min="165" max="165" width="14" hidden="1" customWidth="1"/>
    <col min="166" max="166" width="14.25" hidden="1" customWidth="1"/>
    <col min="167" max="167" width="12.5" hidden="1" customWidth="1"/>
    <col min="168" max="291" width="13.125" hidden="1" customWidth="1"/>
    <col min="292" max="322" width="14.625" hidden="1" customWidth="1"/>
    <col min="323" max="383" width="13.125" hidden="1" customWidth="1"/>
    <col min="384" max="384" width="9.75" hidden="1" customWidth="1"/>
    <col min="385" max="385" width="10.25" hidden="1" customWidth="1"/>
    <col min="386" max="386" width="9.25" hidden="1" customWidth="1"/>
    <col min="387" max="387" width="11.125" hidden="1" customWidth="1"/>
    <col min="388" max="399" width="15.25" hidden="1" customWidth="1"/>
    <col min="400" max="400" width="16.75" hidden="1" customWidth="1"/>
    <col min="401" max="404" width="15.25" hidden="1" customWidth="1"/>
    <col min="405" max="405" width="16.625" hidden="1" customWidth="1"/>
    <col min="406" max="408" width="12.125" bestFit="1" customWidth="1"/>
    <col min="409" max="418" width="19.875" customWidth="1"/>
    <col min="437" max="748" width="0" hidden="1" customWidth="1"/>
    <col min="749" max="757" width="10.875" hidden="1" customWidth="1"/>
    <col min="758" max="770" width="0" hidden="1" customWidth="1"/>
  </cols>
  <sheetData>
    <row r="1" spans="2:770" ht="18" customHeight="1">
      <c r="L1" s="35"/>
      <c r="GR1" s="36">
        <f>GR4/$Q$4/10^9</f>
        <v>2.7998132663396791E-2</v>
      </c>
      <c r="GS1" s="36">
        <f t="shared" ref="GS1:HV1" si="0">GS4/$Q$4/10^9</f>
        <v>2.6918937084815703E-2</v>
      </c>
      <c r="GT1" s="36">
        <f t="shared" si="0"/>
        <v>2.6556074085320559E-2</v>
      </c>
      <c r="GU1" s="36">
        <f t="shared" si="0"/>
        <v>2.9203747595927299E-2</v>
      </c>
      <c r="GV1" s="36">
        <f t="shared" si="0"/>
        <v>3.4047185422153556E-2</v>
      </c>
      <c r="GW1" s="36">
        <f t="shared" si="0"/>
        <v>9.4671529912139177E-3</v>
      </c>
      <c r="GX1" s="36">
        <f t="shared" si="0"/>
        <v>3.3561287317649222E-2</v>
      </c>
      <c r="GY1" s="36">
        <f t="shared" si="0"/>
        <v>3.2310376120102784E-2</v>
      </c>
      <c r="GZ1" s="36">
        <f t="shared" si="0"/>
        <v>3.0566295551450472E-2</v>
      </c>
      <c r="HA1" s="36">
        <f t="shared" si="0"/>
        <v>3.1723540103782213E-2</v>
      </c>
      <c r="HB1" s="36">
        <f t="shared" si="0"/>
        <v>3.3838099493401975E-2</v>
      </c>
      <c r="HC1" s="36">
        <f t="shared" si="0"/>
        <v>3.3219232932155542E-2</v>
      </c>
      <c r="HD1" s="36">
        <f t="shared" si="0"/>
        <v>9.2793456913935844E-3</v>
      </c>
      <c r="HE1" s="36">
        <f t="shared" si="0"/>
        <v>3.2408115879037233E-2</v>
      </c>
      <c r="HF1" s="36">
        <f t="shared" si="0"/>
        <v>3.1410988282930388E-2</v>
      </c>
      <c r="HG1" s="36">
        <f t="shared" si="0"/>
        <v>2.8665051948380298E-2</v>
      </c>
      <c r="HH1" s="36">
        <f t="shared" si="0"/>
        <v>3.0031480200913521E-2</v>
      </c>
      <c r="HI1" s="36">
        <f t="shared" si="0"/>
        <v>2.7143689483834273E-2</v>
      </c>
      <c r="HJ1" s="36">
        <f t="shared" si="0"/>
        <v>3.2125219803103379E-2</v>
      </c>
      <c r="HK1" s="36">
        <f t="shared" si="0"/>
        <v>1.0478023276100888E-2</v>
      </c>
      <c r="HL1" s="36">
        <f t="shared" si="0"/>
        <v>3.4262462370602507E-2</v>
      </c>
      <c r="HM1" s="36">
        <f t="shared" si="0"/>
        <v>2.9096296669753812E-2</v>
      </c>
      <c r="HN1" s="36">
        <f t="shared" si="0"/>
        <v>2.9349903945958357E-2</v>
      </c>
      <c r="HO1" s="36">
        <f t="shared" si="0"/>
        <v>2.9238088065438459E-2</v>
      </c>
      <c r="HP1" s="36">
        <f t="shared" si="0"/>
        <v>2.9808249138456741E-2</v>
      </c>
      <c r="HQ1" s="36">
        <f t="shared" si="0"/>
        <v>2.8019594286851347E-2</v>
      </c>
      <c r="HR1" s="36">
        <f t="shared" si="0"/>
        <v>9.9331476281959551E-3</v>
      </c>
      <c r="HS1" s="36">
        <f t="shared" si="0"/>
        <v>3.5768616266044835E-2</v>
      </c>
      <c r="HT1" s="36">
        <f t="shared" si="0"/>
        <v>3.2161409929387451E-2</v>
      </c>
      <c r="HU1" s="36">
        <f t="shared" si="0"/>
        <v>3.3922507356944707E-2</v>
      </c>
      <c r="HV1" s="36">
        <f t="shared" si="0"/>
        <v>3.4136510360706765E-2</v>
      </c>
      <c r="HW1" s="36">
        <f t="shared" ref="HW1:IY1" si="1">HW4/$Q$4/10^9</f>
        <v>3.1607192548562237E-2</v>
      </c>
      <c r="HX1" s="36">
        <f t="shared" si="1"/>
        <v>3.6111534877509052E-2</v>
      </c>
      <c r="HY1" s="36">
        <f t="shared" si="1"/>
        <v>8.1690803404970216E-3</v>
      </c>
      <c r="HZ1" s="36">
        <f t="shared" si="1"/>
        <v>3.0380058841359896E-2</v>
      </c>
      <c r="IA1" s="36">
        <f t="shared" si="1"/>
        <v>2.7153828765646416E-2</v>
      </c>
      <c r="IB1" s="36">
        <f t="shared" si="1"/>
        <v>2.7736840751150186E-2</v>
      </c>
      <c r="IC1" s="36">
        <f t="shared" si="1"/>
        <v>2.6119752241822176E-2</v>
      </c>
      <c r="ID1" s="36">
        <f t="shared" si="1"/>
        <v>2.9293766982023257E-2</v>
      </c>
      <c r="IE1" s="36">
        <f t="shared" si="1"/>
        <v>3.1636446713824165E-2</v>
      </c>
      <c r="IF1" s="36">
        <f t="shared" si="1"/>
        <v>9.1241186035920796E-3</v>
      </c>
      <c r="IG1" s="36">
        <f t="shared" si="1"/>
        <v>3.4206271416250253E-2</v>
      </c>
      <c r="IH1" s="36">
        <f t="shared" si="1"/>
        <v>2.8103195620878856E-2</v>
      </c>
      <c r="II1" s="36">
        <f t="shared" si="1"/>
        <v>2.8404657691516563E-2</v>
      </c>
      <c r="IJ1" s="36">
        <f t="shared" si="1"/>
        <v>2.8161336405662027E-2</v>
      </c>
      <c r="IK1" s="36">
        <f t="shared" si="1"/>
        <v>3.1017988109148034E-2</v>
      </c>
      <c r="IL1" s="36">
        <f t="shared" si="1"/>
        <v>3.194134105385802E-2</v>
      </c>
      <c r="IM1" s="36">
        <f t="shared" si="1"/>
        <v>9.4527216826162767E-3</v>
      </c>
      <c r="IN1" s="36">
        <f t="shared" si="1"/>
        <v>3.1817111826218117E-2</v>
      </c>
      <c r="IO1" s="36">
        <f t="shared" si="1"/>
        <v>2.9665743943230571E-2</v>
      </c>
      <c r="IP1" s="36">
        <f t="shared" si="1"/>
        <v>2.9655751658379303E-2</v>
      </c>
      <c r="IQ1" s="36">
        <f t="shared" si="1"/>
        <v>2.4789811171519894E-2</v>
      </c>
      <c r="IR1" s="36">
        <f t="shared" si="1"/>
        <v>2.661354072279979E-2</v>
      </c>
      <c r="IS1" s="36">
        <f t="shared" si="1"/>
        <v>2.8794870059342521E-2</v>
      </c>
      <c r="IT1" s="36">
        <f t="shared" si="1"/>
        <v>8.343813559538945E-3</v>
      </c>
      <c r="IU1" s="36">
        <f t="shared" si="1"/>
        <v>3.1719493252360509E-2</v>
      </c>
      <c r="IV1" s="36">
        <f t="shared" si="1"/>
        <v>2.4565036844450449E-2</v>
      </c>
      <c r="IW1" s="36">
        <f t="shared" si="1"/>
        <v>3.0802974889959613E-2</v>
      </c>
      <c r="IX1" s="36">
        <f t="shared" si="1"/>
        <v>2.7971463301703147E-2</v>
      </c>
      <c r="IY1" s="36">
        <f t="shared" si="1"/>
        <v>3.8199120615207006E-2</v>
      </c>
      <c r="IZ1" s="36">
        <f t="shared" ref="IZ1:JA1" si="2">IZ4/$Q$4/10^9</f>
        <v>3.908999904900539E-2</v>
      </c>
      <c r="JA1" s="36">
        <f t="shared" si="2"/>
        <v>1.0481453202553941E-2</v>
      </c>
      <c r="JB1" s="36">
        <f t="shared" ref="JB1:KE1" si="3">JB4/$Q$4/10^9</f>
        <v>1.1410258405000788E-2</v>
      </c>
      <c r="JC1" s="36">
        <f t="shared" si="3"/>
        <v>7.6785201664344039E-3</v>
      </c>
      <c r="JD1" s="36">
        <f t="shared" si="3"/>
        <v>2.8446412430128985E-2</v>
      </c>
      <c r="JE1" s="36">
        <f t="shared" si="3"/>
        <v>3.2008099511272529E-2</v>
      </c>
      <c r="JF1" s="36">
        <f t="shared" si="3"/>
        <v>3.0289608843658729E-2</v>
      </c>
      <c r="JG1" s="36">
        <f t="shared" si="3"/>
        <v>3.1057309007957203E-2</v>
      </c>
      <c r="JH1" s="36">
        <f t="shared" si="3"/>
        <v>8.9843375202487592E-3</v>
      </c>
      <c r="JI1" s="36">
        <f t="shared" si="3"/>
        <v>3.3789726892741123E-2</v>
      </c>
      <c r="JJ1" s="36">
        <f t="shared" si="3"/>
        <v>2.7863182712908514E-2</v>
      </c>
      <c r="JK1" s="36">
        <f t="shared" si="3"/>
        <v>2.8121153734453421E-2</v>
      </c>
      <c r="JL1" s="36">
        <f t="shared" si="3"/>
        <v>2.8940418674431298E-2</v>
      </c>
      <c r="JM1" s="36">
        <f t="shared" si="3"/>
        <v>3.618638626337093E-2</v>
      </c>
      <c r="JN1" s="36">
        <f t="shared" si="3"/>
        <v>3.3941074418418607E-2</v>
      </c>
      <c r="JO1" s="36">
        <f t="shared" si="3"/>
        <v>8.282264622264595E-3</v>
      </c>
      <c r="JP1" s="36">
        <f t="shared" si="3"/>
        <v>3.2018683063297422E-2</v>
      </c>
      <c r="JQ1" s="36">
        <f t="shared" si="3"/>
        <v>3.0174793668045985E-2</v>
      </c>
      <c r="JR1" s="36">
        <f t="shared" si="3"/>
        <v>3.7338390600242286E-2</v>
      </c>
      <c r="JS1" s="36">
        <f t="shared" si="3"/>
        <v>2.8271927685535991E-2</v>
      </c>
      <c r="JT1" s="36">
        <f t="shared" si="3"/>
        <v>2.6627724544698545E-2</v>
      </c>
      <c r="JU1" s="36">
        <f t="shared" si="3"/>
        <v>3.763328947882074E-2</v>
      </c>
      <c r="JV1" s="36">
        <f t="shared" si="3"/>
        <v>8.9747915048163235E-3</v>
      </c>
      <c r="JW1" s="36">
        <f t="shared" si="3"/>
        <v>3.7553244787723344E-2</v>
      </c>
      <c r="JX1" s="36">
        <f t="shared" si="3"/>
        <v>2.8110649419736695E-2</v>
      </c>
      <c r="JY1" s="36">
        <f t="shared" si="3"/>
        <v>3.2276724922324161E-2</v>
      </c>
      <c r="JZ1" s="36">
        <f t="shared" si="3"/>
        <v>2.9595555942610024E-2</v>
      </c>
      <c r="KA1" s="36">
        <f t="shared" si="3"/>
        <v>3.1819741299794181E-2</v>
      </c>
      <c r="KB1" s="36">
        <f t="shared" si="3"/>
        <v>3.5065904566404148E-2</v>
      </c>
      <c r="KC1" s="36">
        <f t="shared" si="3"/>
        <v>8.8646882485308599E-3</v>
      </c>
      <c r="KD1" s="36">
        <f t="shared" si="3"/>
        <v>3.7979572647440396E-2</v>
      </c>
      <c r="KE1" s="36">
        <f t="shared" si="3"/>
        <v>4.2521245191423827E-2</v>
      </c>
      <c r="KF1" s="36">
        <f t="shared" ref="KF1:LI1" si="4">KF4/$Q$4/10^9</f>
        <v>3.2499068060711463E-2</v>
      </c>
      <c r="KG1" s="36">
        <f t="shared" si="4"/>
        <v>3.4217980039276098E-2</v>
      </c>
      <c r="KH1" s="36">
        <f t="shared" si="4"/>
        <v>2.8352907665292755E-2</v>
      </c>
      <c r="KI1" s="36">
        <f t="shared" si="4"/>
        <v>3.5468225876542948E-2</v>
      </c>
      <c r="KJ1" s="36">
        <f t="shared" si="4"/>
        <v>1.1995829378237812E-2</v>
      </c>
      <c r="KK1" s="36">
        <f t="shared" si="4"/>
        <v>4.0355646090339641E-2</v>
      </c>
      <c r="KL1" s="36">
        <f t="shared" si="4"/>
        <v>2.905547355327262E-2</v>
      </c>
      <c r="KM1" s="36">
        <f t="shared" si="4"/>
        <v>3.7746860346198757E-2</v>
      </c>
      <c r="KN1" s="36">
        <f t="shared" si="4"/>
        <v>3.1909534574102109E-2</v>
      </c>
      <c r="KO1" s="36">
        <f t="shared" si="4"/>
        <v>3.1007381913941236E-2</v>
      </c>
      <c r="KP1" s="36">
        <f t="shared" si="4"/>
        <v>3.9430869762263773E-2</v>
      </c>
      <c r="KQ1" s="36">
        <f t="shared" si="4"/>
        <v>1.1872993605137586E-2</v>
      </c>
      <c r="KR1" s="36">
        <f t="shared" si="4"/>
        <v>3.8856765741225943E-2</v>
      </c>
      <c r="KS1" s="36">
        <f t="shared" si="4"/>
        <v>3.0201231572248386E-2</v>
      </c>
      <c r="KT1" s="36">
        <f t="shared" si="4"/>
        <v>3.026268935994909E-2</v>
      </c>
      <c r="KU1" s="36">
        <f t="shared" si="4"/>
        <v>3.2081178138677578E-2</v>
      </c>
      <c r="KV1" s="36">
        <f t="shared" si="4"/>
        <v>3.1825385437853709E-2</v>
      </c>
      <c r="KW1" s="36">
        <f t="shared" si="4"/>
        <v>3.4780433754050412E-2</v>
      </c>
      <c r="KX1" s="36">
        <f t="shared" si="4"/>
        <v>1.1164977446773944E-2</v>
      </c>
      <c r="KY1" s="36">
        <f t="shared" si="4"/>
        <v>3.6590359253566726E-2</v>
      </c>
      <c r="KZ1" s="36">
        <f t="shared" si="4"/>
        <v>2.8677221712389574E-2</v>
      </c>
      <c r="LA1" s="36">
        <f t="shared" si="4"/>
        <v>2.9956618625422232E-2</v>
      </c>
      <c r="LB1" s="36">
        <f t="shared" si="4"/>
        <v>3.2206432789143452E-2</v>
      </c>
      <c r="LC1" s="36">
        <f t="shared" si="4"/>
        <v>3.230755073223289E-2</v>
      </c>
      <c r="LD1" s="36">
        <f t="shared" si="4"/>
        <v>3.6037011179698257E-2</v>
      </c>
      <c r="LE1" s="36">
        <f t="shared" si="4"/>
        <v>1.2337381378257416E-2</v>
      </c>
      <c r="LF1" s="36">
        <f t="shared" si="4"/>
        <v>3.2203039666256872E-2</v>
      </c>
      <c r="LG1" s="36">
        <f t="shared" si="4"/>
        <v>2.8890191482198339E-2</v>
      </c>
      <c r="LH1" s="36">
        <f t="shared" si="4"/>
        <v>3.124529962233186E-2</v>
      </c>
      <c r="LI1" s="36">
        <f t="shared" si="4"/>
        <v>3.4143066480475728E-2</v>
      </c>
      <c r="LJ1" s="36">
        <f t="shared" ref="LJ1:LK1" si="5">LJ4/$Q$4/10^9</f>
        <v>3.5584600203739991E-2</v>
      </c>
      <c r="LK1" s="36">
        <f t="shared" si="5"/>
        <v>3.538545078357045E-2</v>
      </c>
      <c r="LL1" s="36">
        <f t="shared" ref="LL1:NS1" si="6">LL4/$Q$4/10^9</f>
        <v>1.0646890777092433E-2</v>
      </c>
      <c r="LM1" s="36">
        <f t="shared" si="6"/>
        <v>3.3466810247233143E-2</v>
      </c>
      <c r="LN1" s="36">
        <f t="shared" si="6"/>
        <v>3.0322566079867625E-2</v>
      </c>
      <c r="LO1" s="36">
        <f t="shared" si="6"/>
        <v>2.9479726964062775E-2</v>
      </c>
      <c r="LP1" s="36">
        <f t="shared" si="6"/>
        <v>2.7126700143645422E-2</v>
      </c>
      <c r="LQ1" s="36">
        <f t="shared" si="6"/>
        <v>3.0107804401104256E-2</v>
      </c>
      <c r="LR1" s="36">
        <f t="shared" si="6"/>
        <v>3.5841706299987341E-2</v>
      </c>
      <c r="LS1" s="36">
        <f t="shared" si="6"/>
        <v>9.4625622964734837E-3</v>
      </c>
      <c r="LT1" s="36">
        <f t="shared" si="6"/>
        <v>3.1248879801369915E-2</v>
      </c>
      <c r="LU1" s="36">
        <f t="shared" si="6"/>
        <v>3.5533097257262058E-2</v>
      </c>
      <c r="LV1" s="36">
        <f t="shared" si="6"/>
        <v>2.622064188822049E-2</v>
      </c>
      <c r="LW1" s="36">
        <f t="shared" si="6"/>
        <v>2.7786529323286627E-2</v>
      </c>
      <c r="LX1" s="36">
        <f t="shared" si="6"/>
        <v>2.6899601502448096E-2</v>
      </c>
      <c r="LY1" s="36">
        <f t="shared" si="6"/>
        <v>3.3668740065233772E-2</v>
      </c>
      <c r="LZ1" s="36">
        <f t="shared" si="6"/>
        <v>9.0625384218084807E-3</v>
      </c>
      <c r="MA1" s="36">
        <f t="shared" si="6"/>
        <v>3.501542943310728E-2</v>
      </c>
      <c r="MB1" s="36">
        <f t="shared" si="6"/>
        <v>4.022708177001251E-2</v>
      </c>
      <c r="MC1" s="36">
        <f t="shared" si="6"/>
        <v>2.9479719875968494E-2</v>
      </c>
      <c r="MD1" s="36">
        <f t="shared" si="6"/>
        <v>2.5844536969460229E-2</v>
      </c>
      <c r="ME1" s="36">
        <f t="shared" si="6"/>
        <v>3.4699826365461539E-2</v>
      </c>
      <c r="MF1" s="36">
        <f t="shared" si="6"/>
        <v>3.2005419500453443E-2</v>
      </c>
      <c r="MG1" s="36">
        <f t="shared" si="6"/>
        <v>9.2838675360052657E-3</v>
      </c>
      <c r="MH1" s="36">
        <f t="shared" si="6"/>
        <v>4.454522805256237E-2</v>
      </c>
      <c r="MI1" s="36">
        <f t="shared" si="6"/>
        <v>3.3020519010978404E-2</v>
      </c>
      <c r="MJ1" s="36">
        <f t="shared" si="6"/>
        <v>3.5024130712852965E-2</v>
      </c>
      <c r="MK1" s="36">
        <f t="shared" si="6"/>
        <v>3.0485279902064278E-2</v>
      </c>
      <c r="ML1" s="36">
        <f t="shared" si="6"/>
        <v>3.4490971578121192E-2</v>
      </c>
      <c r="MM1" s="36">
        <f t="shared" si="6"/>
        <v>4.102420217591355E-2</v>
      </c>
      <c r="MN1" s="36">
        <f t="shared" si="6"/>
        <v>1.0957474660079626E-2</v>
      </c>
      <c r="MO1" s="36">
        <f t="shared" si="6"/>
        <v>3.3424595679369347E-2</v>
      </c>
      <c r="MP1" s="36">
        <f t="shared" si="6"/>
        <v>3.1835362432334369E-2</v>
      </c>
      <c r="MQ1" s="36">
        <f t="shared" si="6"/>
        <v>3.1229715850449171E-2</v>
      </c>
      <c r="MR1" s="36">
        <f t="shared" si="6"/>
        <v>3.1742380361113022E-2</v>
      </c>
      <c r="MS1" s="36">
        <f t="shared" si="6"/>
        <v>3.3858191036433789E-2</v>
      </c>
      <c r="MT1" s="36">
        <f t="shared" si="6"/>
        <v>3.3036256729631244E-2</v>
      </c>
      <c r="MU1" s="36">
        <f t="shared" si="6"/>
        <v>8.5670647799985337E-3</v>
      </c>
      <c r="MV1" s="36">
        <f t="shared" si="6"/>
        <v>3.2040512777730686E-2</v>
      </c>
      <c r="MW1" s="36">
        <f t="shared" si="6"/>
        <v>3.1004596312642928E-2</v>
      </c>
      <c r="MX1" s="36">
        <f t="shared" si="6"/>
        <v>3.2751002538763167E-2</v>
      </c>
      <c r="MY1" s="36">
        <f t="shared" si="6"/>
        <v>3.222283771319296E-2</v>
      </c>
      <c r="MZ1" s="36">
        <f t="shared" si="6"/>
        <v>2.9454197817553693E-2</v>
      </c>
      <c r="NA1" s="36">
        <f t="shared" si="6"/>
        <v>2.9949282475496098E-2</v>
      </c>
      <c r="NB1" s="36">
        <f t="shared" si="6"/>
        <v>9.5720424484260509E-3</v>
      </c>
      <c r="NC1" s="36">
        <f t="shared" si="6"/>
        <v>3.2267533307654889E-2</v>
      </c>
      <c r="ND1" s="36">
        <f t="shared" si="6"/>
        <v>3.1271043944260543E-2</v>
      </c>
      <c r="NE1" s="36">
        <f t="shared" si="6"/>
        <v>3.3578292078591691E-2</v>
      </c>
      <c r="NF1" s="36">
        <f t="shared" si="6"/>
        <v>2.8996390364078795E-2</v>
      </c>
      <c r="NG1" s="36">
        <f t="shared" si="6"/>
        <v>3.3069471768600443E-2</v>
      </c>
      <c r="NH1" s="36">
        <f t="shared" si="6"/>
        <v>4.0301092288216801E-2</v>
      </c>
      <c r="NI1" s="36">
        <f t="shared" si="6"/>
        <v>1.0357091217357733E-2</v>
      </c>
      <c r="NJ1" s="36">
        <f t="shared" si="6"/>
        <v>3.7101107070837996E-2</v>
      </c>
      <c r="NK1" s="36">
        <f t="shared" si="6"/>
        <v>3.208595183189232E-2</v>
      </c>
      <c r="NL1" s="36">
        <f t="shared" si="6"/>
        <v>3.0867938625307411E-2</v>
      </c>
      <c r="NM1" s="36">
        <f t="shared" si="6"/>
        <v>3.4193100753272983E-2</v>
      </c>
      <c r="NN1" s="36">
        <f t="shared" si="6"/>
        <v>2.757292660720357E-2</v>
      </c>
      <c r="NO1" s="36">
        <f t="shared" si="6"/>
        <v>3.3227016232573542E-2</v>
      </c>
      <c r="NP1" s="36">
        <f t="shared" si="6"/>
        <v>1.1256849389676929E-2</v>
      </c>
      <c r="NQ1" s="36">
        <f t="shared" si="6"/>
        <v>3.5171523642962436E-2</v>
      </c>
      <c r="NR1" s="36">
        <f t="shared" si="6"/>
        <v>3.3738124724796217E-2</v>
      </c>
      <c r="NS1" s="36">
        <f t="shared" si="6"/>
        <v>3.4883452005734776E-2</v>
      </c>
      <c r="OP1" s="36">
        <f t="shared" ref="OP1:OR1" si="7">OP4/$Q$4/10^9</f>
        <v>7.3278070811237427E-3</v>
      </c>
      <c r="OQ1" s="36">
        <f t="shared" si="7"/>
        <v>2.9260401164986037E-2</v>
      </c>
      <c r="OR1" s="36">
        <f t="shared" ref="OR1:PT1" si="8">OR4/$Q$4/10^9</f>
        <v>2.4396247723400034E-2</v>
      </c>
      <c r="OS1" s="36">
        <f t="shared" si="8"/>
        <v>8.9733606145501483E-3</v>
      </c>
      <c r="OT1" s="36">
        <f t="shared" si="8"/>
        <v>3.4768080229023793E-2</v>
      </c>
      <c r="OU1" s="36">
        <f t="shared" si="8"/>
        <v>3.1978946041200627E-2</v>
      </c>
      <c r="OV1" s="36">
        <f t="shared" si="8"/>
        <v>3.2801343590918672E-2</v>
      </c>
      <c r="OW1" s="36">
        <f t="shared" si="8"/>
        <v>2.6899608400894375E-2</v>
      </c>
      <c r="OX1" s="36">
        <f t="shared" si="8"/>
        <v>3.0113393541241585E-2</v>
      </c>
      <c r="OY1" s="36">
        <f t="shared" si="8"/>
        <v>3.546750615445219E-2</v>
      </c>
      <c r="OZ1" s="36">
        <f t="shared" si="8"/>
        <v>1.1310923259859591E-2</v>
      </c>
      <c r="PA1" s="36">
        <f t="shared" si="8"/>
        <v>3.3357254105694539E-2</v>
      </c>
      <c r="PB1" s="36">
        <f t="shared" si="8"/>
        <v>3.2341470467639244E-2</v>
      </c>
      <c r="PC1" s="36">
        <f t="shared" si="8"/>
        <v>2.9361679206552867E-2</v>
      </c>
      <c r="PD1" s="36">
        <f t="shared" si="8"/>
        <v>2.8489329742635856E-2</v>
      </c>
      <c r="PE1" s="36">
        <f t="shared" si="8"/>
        <v>3.0573604241925512E-2</v>
      </c>
      <c r="PF1" s="36">
        <f t="shared" si="8"/>
        <v>3.1711530770134347E-2</v>
      </c>
      <c r="PG1" s="36">
        <f t="shared" si="8"/>
        <v>9.6206176445219997E-3</v>
      </c>
      <c r="PH1" s="36">
        <f t="shared" si="8"/>
        <v>2.1707482779940383E-2</v>
      </c>
      <c r="PI1" s="36">
        <f t="shared" si="8"/>
        <v>0</v>
      </c>
      <c r="PJ1" s="36">
        <f t="shared" si="8"/>
        <v>0</v>
      </c>
      <c r="PK1" s="36">
        <f t="shared" si="8"/>
        <v>0</v>
      </c>
      <c r="PL1" s="36">
        <f t="shared" si="8"/>
        <v>0</v>
      </c>
      <c r="PM1" s="36">
        <f t="shared" si="8"/>
        <v>0</v>
      </c>
      <c r="PN1" s="36">
        <f t="shared" si="8"/>
        <v>0</v>
      </c>
      <c r="PO1" s="36">
        <f t="shared" si="8"/>
        <v>0</v>
      </c>
      <c r="PP1" s="36">
        <f t="shared" si="8"/>
        <v>0</v>
      </c>
      <c r="PQ1" s="36">
        <f t="shared" si="8"/>
        <v>0</v>
      </c>
      <c r="PR1" s="36">
        <f t="shared" si="8"/>
        <v>0</v>
      </c>
      <c r="PS1" s="36">
        <f t="shared" si="8"/>
        <v>0</v>
      </c>
      <c r="PT1" s="36">
        <f t="shared" si="8"/>
        <v>0</v>
      </c>
    </row>
    <row r="2" spans="2:770">
      <c r="B2" s="466" t="s">
        <v>0</v>
      </c>
      <c r="C2" s="457" t="s">
        <v>1</v>
      </c>
      <c r="D2" s="457" t="s">
        <v>2</v>
      </c>
      <c r="E2" s="457"/>
      <c r="F2" s="457"/>
      <c r="G2" s="457"/>
      <c r="H2" s="457"/>
      <c r="I2" s="457"/>
      <c r="J2" s="457"/>
      <c r="L2" s="463" t="s">
        <v>3</v>
      </c>
      <c r="M2" s="464"/>
      <c r="N2" s="465"/>
      <c r="O2" s="460" t="s">
        <v>4</v>
      </c>
      <c r="P2" s="461"/>
      <c r="Q2" s="461"/>
      <c r="R2" s="462"/>
      <c r="S2" s="80">
        <v>45658</v>
      </c>
      <c r="T2" s="80">
        <v>45659</v>
      </c>
      <c r="U2" s="80">
        <v>45660</v>
      </c>
      <c r="V2" s="80">
        <v>45661</v>
      </c>
      <c r="W2" s="80">
        <v>45662</v>
      </c>
      <c r="X2" s="80">
        <v>45663</v>
      </c>
      <c r="Y2" s="80">
        <v>45664</v>
      </c>
      <c r="Z2" s="80">
        <v>45665</v>
      </c>
      <c r="AA2" s="80">
        <v>45666</v>
      </c>
      <c r="AB2" s="80">
        <v>45667</v>
      </c>
      <c r="AC2" s="80">
        <v>45668</v>
      </c>
      <c r="AD2" s="84">
        <v>45669</v>
      </c>
      <c r="AE2" s="80">
        <v>45670</v>
      </c>
      <c r="AF2" s="80">
        <v>45671</v>
      </c>
      <c r="AG2" s="80">
        <v>45672</v>
      </c>
      <c r="AH2" s="80">
        <v>45673</v>
      </c>
      <c r="AI2" s="80">
        <v>45674</v>
      </c>
      <c r="AJ2" s="80">
        <v>45675</v>
      </c>
      <c r="AK2" s="80">
        <v>45676</v>
      </c>
      <c r="AL2" s="84">
        <v>45677</v>
      </c>
      <c r="AM2" s="80">
        <v>45678</v>
      </c>
      <c r="AN2" s="80">
        <v>45679</v>
      </c>
      <c r="AO2" s="80">
        <v>45680</v>
      </c>
      <c r="AP2" s="80">
        <v>45681</v>
      </c>
      <c r="AQ2" s="80">
        <v>45682</v>
      </c>
      <c r="AR2" s="80">
        <v>45683</v>
      </c>
      <c r="AS2" s="80">
        <v>45684</v>
      </c>
      <c r="AT2" s="80">
        <v>45685</v>
      </c>
      <c r="AU2" s="80">
        <v>45686</v>
      </c>
      <c r="AV2" s="80">
        <v>45687</v>
      </c>
      <c r="AW2" s="84">
        <v>45688</v>
      </c>
      <c r="AX2" s="80">
        <v>45689</v>
      </c>
      <c r="AY2" s="80">
        <v>45690</v>
      </c>
      <c r="AZ2" s="80">
        <v>45691</v>
      </c>
      <c r="BA2" s="80">
        <v>45692</v>
      </c>
      <c r="BB2" s="80">
        <v>45693</v>
      </c>
      <c r="BC2" s="80">
        <v>45694</v>
      </c>
      <c r="BD2" s="80">
        <v>45695</v>
      </c>
      <c r="BE2" s="80">
        <v>45696</v>
      </c>
      <c r="BF2" s="80">
        <v>45697</v>
      </c>
      <c r="BG2" s="80">
        <v>45698</v>
      </c>
      <c r="BH2" s="80">
        <v>45699</v>
      </c>
      <c r="BI2" s="80">
        <v>45700</v>
      </c>
      <c r="BJ2" s="80">
        <v>45701</v>
      </c>
      <c r="BK2" s="80">
        <v>45702</v>
      </c>
      <c r="BL2" s="80">
        <v>45703</v>
      </c>
      <c r="BM2" s="80">
        <v>45704</v>
      </c>
      <c r="BN2" s="80">
        <v>45705</v>
      </c>
      <c r="BO2" s="80">
        <v>45706</v>
      </c>
      <c r="BP2" s="80">
        <v>45707</v>
      </c>
      <c r="BQ2" s="80">
        <v>45708</v>
      </c>
      <c r="BR2" s="80">
        <v>45709</v>
      </c>
      <c r="BS2" s="80">
        <v>45710</v>
      </c>
      <c r="BT2" s="80">
        <v>45711</v>
      </c>
      <c r="BU2" s="80">
        <v>45712</v>
      </c>
      <c r="BV2" s="80">
        <v>45713</v>
      </c>
      <c r="BW2" s="80">
        <v>45714</v>
      </c>
      <c r="BX2" s="80">
        <v>45715</v>
      </c>
      <c r="BY2" s="80">
        <v>45716</v>
      </c>
      <c r="BZ2" s="80">
        <v>45717</v>
      </c>
      <c r="CA2" s="80">
        <v>45718</v>
      </c>
      <c r="CB2" s="80">
        <v>45719</v>
      </c>
      <c r="CC2" s="80">
        <v>45720</v>
      </c>
      <c r="CD2" s="80">
        <v>45721</v>
      </c>
      <c r="CE2" s="80">
        <v>45722</v>
      </c>
      <c r="CF2" s="80">
        <v>45723</v>
      </c>
      <c r="CG2" s="80">
        <v>45724</v>
      </c>
      <c r="CH2" s="80">
        <v>45725</v>
      </c>
      <c r="CI2" s="80">
        <v>45726</v>
      </c>
      <c r="CJ2" s="80">
        <v>45727</v>
      </c>
      <c r="CK2" s="84">
        <v>45728</v>
      </c>
      <c r="CL2" s="80">
        <v>45729</v>
      </c>
      <c r="CM2" s="80">
        <v>45730</v>
      </c>
      <c r="CN2" s="80">
        <v>45731</v>
      </c>
      <c r="CO2" s="80">
        <v>45732</v>
      </c>
      <c r="CP2" s="80">
        <v>45733</v>
      </c>
      <c r="CQ2" s="80">
        <v>45734</v>
      </c>
      <c r="CR2" s="80">
        <v>45735</v>
      </c>
      <c r="CS2" s="84">
        <v>45736</v>
      </c>
      <c r="CT2" s="80">
        <v>45737</v>
      </c>
      <c r="CU2" s="80">
        <v>45738</v>
      </c>
      <c r="CV2" s="80">
        <v>45739</v>
      </c>
      <c r="CW2" s="80">
        <v>45740</v>
      </c>
      <c r="CX2" s="80">
        <v>45741</v>
      </c>
      <c r="CY2" s="80">
        <v>45742</v>
      </c>
      <c r="CZ2" s="80">
        <v>45743</v>
      </c>
      <c r="DA2" s="80">
        <v>45744</v>
      </c>
      <c r="DB2" s="80">
        <v>45745</v>
      </c>
      <c r="DC2" s="80">
        <v>45746</v>
      </c>
      <c r="DD2" s="84">
        <v>45747</v>
      </c>
      <c r="DE2" s="80">
        <v>45748</v>
      </c>
      <c r="DF2" s="80">
        <v>45749</v>
      </c>
      <c r="DG2" s="80">
        <v>45750</v>
      </c>
      <c r="DH2" s="80">
        <v>45751</v>
      </c>
      <c r="DI2" s="80">
        <v>45752</v>
      </c>
      <c r="DJ2" s="80">
        <v>45753</v>
      </c>
      <c r="DK2" s="80">
        <v>45754</v>
      </c>
      <c r="DL2" s="80">
        <v>45755</v>
      </c>
      <c r="DM2" s="80">
        <v>45756</v>
      </c>
      <c r="DN2" s="80">
        <v>45757</v>
      </c>
      <c r="DO2" s="80">
        <v>45758</v>
      </c>
      <c r="DP2" s="80">
        <v>45759</v>
      </c>
      <c r="DQ2" s="80">
        <v>45760</v>
      </c>
      <c r="DR2" s="80">
        <v>45761</v>
      </c>
      <c r="DS2" s="80">
        <v>45762</v>
      </c>
      <c r="DT2" s="80">
        <v>45763</v>
      </c>
      <c r="DU2" s="80">
        <v>45764</v>
      </c>
      <c r="DV2" s="80">
        <v>45765</v>
      </c>
      <c r="DW2" s="80">
        <v>45766</v>
      </c>
      <c r="DX2" s="80">
        <v>45767</v>
      </c>
      <c r="DY2" s="80">
        <v>45768</v>
      </c>
      <c r="DZ2" s="80">
        <v>45769</v>
      </c>
      <c r="EA2" s="80">
        <v>45770</v>
      </c>
      <c r="EB2" s="80">
        <v>45771</v>
      </c>
      <c r="EC2" s="80">
        <v>45772</v>
      </c>
      <c r="ED2" s="80">
        <v>45773</v>
      </c>
      <c r="EE2" s="80">
        <v>45774</v>
      </c>
      <c r="EF2" s="80">
        <v>45775</v>
      </c>
      <c r="EG2" s="80">
        <v>45776</v>
      </c>
      <c r="EH2" s="80">
        <v>45777</v>
      </c>
      <c r="EI2" s="80">
        <v>45778</v>
      </c>
      <c r="EJ2" s="80">
        <v>45779</v>
      </c>
      <c r="EK2" s="80">
        <v>45780</v>
      </c>
      <c r="EL2" s="80">
        <v>45781</v>
      </c>
      <c r="EM2" s="80">
        <v>45782</v>
      </c>
      <c r="EN2" s="80">
        <v>45783</v>
      </c>
      <c r="EO2" s="80">
        <v>45784</v>
      </c>
      <c r="EP2" s="80">
        <v>45785</v>
      </c>
      <c r="EQ2" s="80">
        <v>45786</v>
      </c>
      <c r="ER2" s="80">
        <v>45787</v>
      </c>
      <c r="ES2" s="80">
        <v>45788</v>
      </c>
      <c r="ET2" s="80">
        <v>45789</v>
      </c>
      <c r="EU2" s="80">
        <v>45790</v>
      </c>
      <c r="EV2" s="80">
        <v>45791</v>
      </c>
      <c r="EW2" s="80">
        <v>45792</v>
      </c>
      <c r="EX2" s="80">
        <v>45793</v>
      </c>
      <c r="EY2" s="80">
        <v>45794</v>
      </c>
      <c r="EZ2" s="80">
        <v>45795</v>
      </c>
      <c r="FA2" s="80">
        <v>45796</v>
      </c>
      <c r="FB2" s="80">
        <v>45797</v>
      </c>
      <c r="FC2" s="80">
        <v>45798</v>
      </c>
      <c r="FD2" s="80">
        <v>45799</v>
      </c>
      <c r="FE2" s="80">
        <v>45800</v>
      </c>
      <c r="FF2" s="80">
        <v>45801</v>
      </c>
      <c r="FG2" s="80">
        <v>45802</v>
      </c>
      <c r="FH2" s="80">
        <v>45803</v>
      </c>
      <c r="FI2" s="80">
        <v>45804</v>
      </c>
      <c r="FJ2" s="80">
        <v>45805</v>
      </c>
      <c r="FK2" s="80">
        <v>45806</v>
      </c>
      <c r="FL2" s="80">
        <v>45807</v>
      </c>
      <c r="FM2" s="80">
        <v>45808</v>
      </c>
      <c r="FN2" s="80">
        <v>45809</v>
      </c>
      <c r="FO2" s="80">
        <v>45810</v>
      </c>
      <c r="FP2" s="80">
        <v>45811</v>
      </c>
      <c r="FQ2" s="80">
        <v>45812</v>
      </c>
      <c r="FR2" s="80">
        <v>45813</v>
      </c>
      <c r="FS2" s="80">
        <v>45814</v>
      </c>
      <c r="FT2" s="80">
        <v>45815</v>
      </c>
      <c r="FU2" s="80">
        <v>45816</v>
      </c>
      <c r="FV2" s="80">
        <v>45817</v>
      </c>
      <c r="FW2" s="80">
        <v>45818</v>
      </c>
      <c r="FX2" s="80">
        <v>45819</v>
      </c>
      <c r="FY2" s="80">
        <v>45820</v>
      </c>
      <c r="FZ2" s="80">
        <v>45821</v>
      </c>
      <c r="GA2" s="80">
        <v>45822</v>
      </c>
      <c r="GB2" s="80">
        <v>45823</v>
      </c>
      <c r="GC2" s="80">
        <v>45824</v>
      </c>
      <c r="GD2" s="80">
        <v>45825</v>
      </c>
      <c r="GE2" s="80">
        <v>45826</v>
      </c>
      <c r="GF2" s="80">
        <v>45827</v>
      </c>
      <c r="GG2" s="80">
        <v>45828</v>
      </c>
      <c r="GH2" s="80">
        <v>45829</v>
      </c>
      <c r="GI2" s="80">
        <v>45830</v>
      </c>
      <c r="GJ2" s="80">
        <v>45831</v>
      </c>
      <c r="GK2" s="80">
        <v>45832</v>
      </c>
      <c r="GL2" s="80">
        <v>45833</v>
      </c>
      <c r="GM2" s="80">
        <v>45834</v>
      </c>
      <c r="GN2" s="80">
        <v>45835</v>
      </c>
      <c r="GO2" s="80">
        <v>45836</v>
      </c>
      <c r="GP2" s="80">
        <v>45837</v>
      </c>
      <c r="GQ2" s="80">
        <v>45838</v>
      </c>
      <c r="GR2" s="80">
        <v>45839</v>
      </c>
      <c r="GS2" s="80">
        <v>45840</v>
      </c>
      <c r="GT2" s="80">
        <v>45841</v>
      </c>
      <c r="GU2" s="80">
        <v>45842</v>
      </c>
      <c r="GV2" s="80">
        <v>45843</v>
      </c>
      <c r="GW2" s="80">
        <v>45844</v>
      </c>
      <c r="GX2" s="80">
        <v>45845</v>
      </c>
      <c r="GY2" s="80">
        <v>45846</v>
      </c>
      <c r="GZ2" s="80">
        <v>45847</v>
      </c>
      <c r="HA2" s="80">
        <v>45848</v>
      </c>
      <c r="HB2" s="80">
        <v>45849</v>
      </c>
      <c r="HC2" s="80">
        <v>45850</v>
      </c>
      <c r="HD2" s="80">
        <v>45851</v>
      </c>
      <c r="HE2" s="80">
        <v>45852</v>
      </c>
      <c r="HF2" s="80">
        <v>45853</v>
      </c>
      <c r="HG2" s="80">
        <v>45854</v>
      </c>
      <c r="HH2" s="80">
        <v>45855</v>
      </c>
      <c r="HI2" s="80">
        <v>45856</v>
      </c>
      <c r="HJ2" s="80">
        <v>45857</v>
      </c>
      <c r="HK2" s="80">
        <v>45858</v>
      </c>
      <c r="HL2" s="80">
        <v>45859</v>
      </c>
      <c r="HM2" s="80">
        <v>45860</v>
      </c>
      <c r="HN2" s="80">
        <v>45861</v>
      </c>
      <c r="HO2" s="80">
        <v>45862</v>
      </c>
      <c r="HP2" s="80">
        <v>45863</v>
      </c>
      <c r="HQ2" s="80">
        <v>45864</v>
      </c>
      <c r="HR2" s="80">
        <v>45865</v>
      </c>
      <c r="HS2" s="80">
        <v>45866</v>
      </c>
      <c r="HT2" s="80">
        <v>45867</v>
      </c>
      <c r="HU2" s="80">
        <v>45868</v>
      </c>
      <c r="HV2" s="80">
        <v>45869</v>
      </c>
      <c r="HW2" s="80">
        <v>45870</v>
      </c>
      <c r="HX2" s="80">
        <v>45871</v>
      </c>
      <c r="HY2" s="80">
        <v>45872</v>
      </c>
      <c r="HZ2" s="80">
        <v>45873</v>
      </c>
      <c r="IA2" s="80">
        <v>45874</v>
      </c>
      <c r="IB2" s="80">
        <v>45875</v>
      </c>
      <c r="IC2" s="80">
        <v>45876</v>
      </c>
      <c r="ID2" s="80">
        <v>45877</v>
      </c>
      <c r="IE2" s="80">
        <v>45878</v>
      </c>
      <c r="IF2" s="80">
        <v>45879</v>
      </c>
      <c r="IG2" s="80">
        <v>45880</v>
      </c>
      <c r="IH2" s="80">
        <v>45881</v>
      </c>
      <c r="II2" s="80">
        <v>45882</v>
      </c>
      <c r="IJ2" s="80">
        <v>45883</v>
      </c>
      <c r="IK2" s="80">
        <v>45884</v>
      </c>
      <c r="IL2" s="80">
        <v>45885</v>
      </c>
      <c r="IM2" s="80">
        <v>45886</v>
      </c>
      <c r="IN2" s="80">
        <v>45887</v>
      </c>
      <c r="IO2" s="80">
        <v>45888</v>
      </c>
      <c r="IP2" s="80">
        <v>45889</v>
      </c>
      <c r="IQ2" s="80">
        <v>45890</v>
      </c>
      <c r="IR2" s="80">
        <v>45891</v>
      </c>
      <c r="IS2" s="80">
        <v>45892</v>
      </c>
      <c r="IT2" s="80">
        <v>45893</v>
      </c>
      <c r="IU2" s="80">
        <v>45894</v>
      </c>
      <c r="IV2" s="80">
        <v>45895</v>
      </c>
      <c r="IW2" s="80">
        <v>45896</v>
      </c>
      <c r="IX2" s="80">
        <v>45897</v>
      </c>
      <c r="IY2" s="80">
        <v>45898</v>
      </c>
      <c r="IZ2" s="80">
        <v>45899</v>
      </c>
      <c r="JA2" s="80">
        <v>45900</v>
      </c>
      <c r="JB2" s="80">
        <v>45901</v>
      </c>
      <c r="JC2" s="80">
        <v>45902</v>
      </c>
      <c r="JD2" s="80">
        <v>45903</v>
      </c>
      <c r="JE2" s="80">
        <v>45904</v>
      </c>
      <c r="JF2" s="80">
        <v>45905</v>
      </c>
      <c r="JG2" s="80">
        <v>45906</v>
      </c>
      <c r="JH2" s="80">
        <v>45907</v>
      </c>
      <c r="JI2" s="80">
        <v>45908</v>
      </c>
      <c r="JJ2" s="80">
        <v>45909</v>
      </c>
      <c r="JK2" s="80">
        <v>45910</v>
      </c>
      <c r="JL2" s="80">
        <v>45911</v>
      </c>
      <c r="JM2" s="80">
        <v>45912</v>
      </c>
      <c r="JN2" s="80">
        <v>45913</v>
      </c>
      <c r="JO2" s="80">
        <v>45914</v>
      </c>
      <c r="JP2" s="80">
        <v>45915</v>
      </c>
      <c r="JQ2" s="80">
        <v>45916</v>
      </c>
      <c r="JR2" s="80">
        <v>45917</v>
      </c>
      <c r="JS2" s="80">
        <v>45918</v>
      </c>
      <c r="JT2" s="80">
        <v>45919</v>
      </c>
      <c r="JU2" s="80">
        <v>45920</v>
      </c>
      <c r="JV2" s="80">
        <v>45921</v>
      </c>
      <c r="JW2" s="80">
        <v>45922</v>
      </c>
      <c r="JX2" s="80">
        <v>45923</v>
      </c>
      <c r="JY2" s="80">
        <v>45924</v>
      </c>
      <c r="JZ2" s="80">
        <v>45925</v>
      </c>
      <c r="KA2" s="80">
        <v>45926</v>
      </c>
      <c r="KB2" s="80">
        <v>45927</v>
      </c>
      <c r="KC2" s="80">
        <v>45928</v>
      </c>
      <c r="KD2" s="80">
        <v>45929</v>
      </c>
      <c r="KE2" s="80">
        <v>45930</v>
      </c>
      <c r="KF2" s="80">
        <v>45931</v>
      </c>
      <c r="KG2" s="80">
        <v>45932</v>
      </c>
      <c r="KH2" s="80">
        <v>45933</v>
      </c>
      <c r="KI2" s="80">
        <v>45934</v>
      </c>
      <c r="KJ2" s="80">
        <v>45935</v>
      </c>
      <c r="KK2" s="80">
        <v>45936</v>
      </c>
      <c r="KL2" s="80">
        <v>45937</v>
      </c>
      <c r="KM2" s="80">
        <v>45938</v>
      </c>
      <c r="KN2" s="80">
        <v>45939</v>
      </c>
      <c r="KO2" s="80">
        <v>45940</v>
      </c>
      <c r="KP2" s="80">
        <v>45941</v>
      </c>
      <c r="KQ2" s="80">
        <v>45942</v>
      </c>
      <c r="KR2" s="80">
        <v>45943</v>
      </c>
      <c r="KS2" s="80">
        <v>45944</v>
      </c>
      <c r="KT2" s="80">
        <v>45945</v>
      </c>
      <c r="KU2" s="80">
        <v>45946</v>
      </c>
      <c r="KV2" s="80">
        <v>45947</v>
      </c>
      <c r="KW2" s="80">
        <v>45948</v>
      </c>
      <c r="KX2" s="80">
        <v>45949</v>
      </c>
      <c r="KY2" s="80">
        <v>45950</v>
      </c>
      <c r="KZ2" s="80">
        <v>45951</v>
      </c>
      <c r="LA2" s="80">
        <v>45952</v>
      </c>
      <c r="LB2" s="80">
        <v>45953</v>
      </c>
      <c r="LC2" s="80">
        <v>45954</v>
      </c>
      <c r="LD2" s="80">
        <v>45955</v>
      </c>
      <c r="LE2" s="80">
        <v>45956</v>
      </c>
      <c r="LF2" s="80">
        <v>45957</v>
      </c>
      <c r="LG2" s="80">
        <v>45958</v>
      </c>
      <c r="LH2" s="80">
        <v>45959</v>
      </c>
      <c r="LI2" s="80">
        <v>45960</v>
      </c>
      <c r="LJ2" s="80">
        <v>45961</v>
      </c>
      <c r="LK2" s="80">
        <v>45962</v>
      </c>
      <c r="LL2" s="80">
        <v>45963</v>
      </c>
      <c r="LM2" s="80">
        <v>45964</v>
      </c>
      <c r="LN2" s="80">
        <v>45965</v>
      </c>
      <c r="LO2" s="80">
        <v>45966</v>
      </c>
      <c r="LP2" s="80">
        <v>45967</v>
      </c>
      <c r="LQ2" s="80">
        <v>45968</v>
      </c>
      <c r="LR2" s="80">
        <v>45969</v>
      </c>
      <c r="LS2" s="80">
        <v>45970</v>
      </c>
      <c r="LT2" s="80">
        <v>45971</v>
      </c>
      <c r="LU2" s="80">
        <v>45972</v>
      </c>
      <c r="LV2" s="80">
        <v>45973</v>
      </c>
      <c r="LW2" s="80">
        <v>45974</v>
      </c>
      <c r="LX2" s="80">
        <v>45975</v>
      </c>
      <c r="LY2" s="80">
        <v>45976</v>
      </c>
      <c r="LZ2" s="80">
        <v>45977</v>
      </c>
      <c r="MA2" s="80">
        <v>45978</v>
      </c>
      <c r="MB2" s="80">
        <v>45979</v>
      </c>
      <c r="MC2" s="80">
        <v>45980</v>
      </c>
      <c r="MD2" s="80">
        <v>45981</v>
      </c>
      <c r="ME2" s="80">
        <v>45982</v>
      </c>
      <c r="MF2" s="80">
        <v>45983</v>
      </c>
      <c r="MG2" s="80">
        <v>45984</v>
      </c>
      <c r="MH2" s="80">
        <v>45985</v>
      </c>
      <c r="MI2" s="80">
        <v>45986</v>
      </c>
      <c r="MJ2" s="80">
        <v>45987</v>
      </c>
      <c r="MK2" s="80">
        <v>45988</v>
      </c>
      <c r="ML2" s="80">
        <v>45989</v>
      </c>
      <c r="MM2" s="80">
        <v>45990</v>
      </c>
      <c r="MN2" s="80">
        <v>45991</v>
      </c>
      <c r="MO2" s="80">
        <v>45992</v>
      </c>
      <c r="MP2" s="80">
        <v>45993</v>
      </c>
      <c r="MQ2" s="80">
        <v>45994</v>
      </c>
      <c r="MR2" s="80">
        <v>45995</v>
      </c>
      <c r="MS2" s="80">
        <v>45996</v>
      </c>
      <c r="MT2" s="80">
        <v>45997</v>
      </c>
      <c r="MU2" s="80">
        <v>45998</v>
      </c>
      <c r="MV2" s="80">
        <v>45999</v>
      </c>
      <c r="MW2" s="80">
        <v>46000</v>
      </c>
      <c r="MX2" s="80">
        <v>46001</v>
      </c>
      <c r="MY2" s="80">
        <v>46002</v>
      </c>
      <c r="MZ2" s="80">
        <v>46003</v>
      </c>
      <c r="NA2" s="80">
        <v>46004</v>
      </c>
      <c r="NB2" s="80">
        <v>46005</v>
      </c>
      <c r="NC2" s="80">
        <v>46006</v>
      </c>
      <c r="ND2" s="80">
        <v>46007</v>
      </c>
      <c r="NE2" s="80">
        <v>46008</v>
      </c>
      <c r="NF2" s="80">
        <v>46009</v>
      </c>
      <c r="NG2" s="80">
        <v>46010</v>
      </c>
      <c r="NH2" s="80">
        <v>46011</v>
      </c>
      <c r="NI2" s="80">
        <v>46012</v>
      </c>
      <c r="NJ2" s="80">
        <v>46013</v>
      </c>
      <c r="NK2" s="80">
        <v>46014</v>
      </c>
      <c r="NL2" s="80">
        <v>46015</v>
      </c>
      <c r="NM2" s="80">
        <v>46016</v>
      </c>
      <c r="NN2" s="80">
        <v>46017</v>
      </c>
      <c r="NO2" s="80">
        <v>46018</v>
      </c>
      <c r="NP2" s="80">
        <v>46019</v>
      </c>
      <c r="NQ2" s="80">
        <v>46020</v>
      </c>
      <c r="NR2" s="80">
        <v>46021</v>
      </c>
      <c r="NS2" s="80">
        <v>46022</v>
      </c>
      <c r="OP2" s="80">
        <v>46023</v>
      </c>
      <c r="OQ2" s="80">
        <v>46024</v>
      </c>
      <c r="OR2" s="80">
        <v>46025</v>
      </c>
      <c r="OS2" s="80">
        <v>46026</v>
      </c>
      <c r="OT2" s="80">
        <v>46027</v>
      </c>
      <c r="OU2" s="80">
        <v>46028</v>
      </c>
      <c r="OV2" s="80">
        <v>46029</v>
      </c>
      <c r="OW2" s="80">
        <v>46030</v>
      </c>
      <c r="OX2" s="80">
        <v>46031</v>
      </c>
      <c r="OY2" s="80">
        <v>46032</v>
      </c>
      <c r="OZ2" s="80">
        <v>46033</v>
      </c>
      <c r="PA2" s="80">
        <v>46034</v>
      </c>
      <c r="PB2" s="80">
        <v>46035</v>
      </c>
      <c r="PC2" s="80">
        <v>46036</v>
      </c>
      <c r="PD2" s="80">
        <v>46037</v>
      </c>
      <c r="PE2" s="80">
        <v>46038</v>
      </c>
      <c r="PF2" s="80">
        <v>46039</v>
      </c>
      <c r="PG2" s="80">
        <v>46040</v>
      </c>
      <c r="PH2" s="80">
        <v>46041</v>
      </c>
      <c r="PI2" s="80">
        <v>46042</v>
      </c>
      <c r="PJ2" s="80">
        <v>46043</v>
      </c>
      <c r="PK2" s="80">
        <v>46044</v>
      </c>
      <c r="PL2" s="80">
        <v>46045</v>
      </c>
      <c r="PM2" s="80">
        <v>46046</v>
      </c>
      <c r="PN2" s="80">
        <v>46047</v>
      </c>
      <c r="PO2" s="80">
        <v>46048</v>
      </c>
      <c r="PP2" s="80">
        <v>46049</v>
      </c>
      <c r="PQ2" s="80">
        <v>46050</v>
      </c>
      <c r="PR2" s="80">
        <v>46051</v>
      </c>
      <c r="PS2" s="80">
        <v>46052</v>
      </c>
      <c r="PT2" s="80">
        <v>46053</v>
      </c>
    </row>
    <row r="3" spans="2:770" ht="30.75" customHeight="1">
      <c r="B3" s="467"/>
      <c r="C3" s="457"/>
      <c r="D3" s="363" t="s">
        <v>5</v>
      </c>
      <c r="E3" s="363" t="s">
        <v>6</v>
      </c>
      <c r="F3" s="363" t="s">
        <v>7</v>
      </c>
      <c r="G3" s="363" t="s">
        <v>8</v>
      </c>
      <c r="H3" s="363" t="s">
        <v>9</v>
      </c>
      <c r="I3" s="363" t="s">
        <v>10</v>
      </c>
      <c r="J3" s="363" t="s">
        <v>11</v>
      </c>
      <c r="L3" s="140" t="s">
        <v>12</v>
      </c>
      <c r="M3" s="225" t="s">
        <v>13</v>
      </c>
      <c r="N3" s="226" t="s">
        <v>14</v>
      </c>
      <c r="O3" s="470" t="s">
        <v>15</v>
      </c>
      <c r="P3" s="471"/>
      <c r="Q3" s="142" t="s">
        <v>16</v>
      </c>
      <c r="R3" s="247" t="s">
        <v>17</v>
      </c>
      <c r="S3" s="81" t="s">
        <v>18</v>
      </c>
      <c r="T3" s="81" t="s">
        <v>18</v>
      </c>
      <c r="U3" s="81" t="s">
        <v>18</v>
      </c>
      <c r="V3" s="81" t="s">
        <v>18</v>
      </c>
      <c r="W3" s="81" t="s">
        <v>18</v>
      </c>
      <c r="X3" s="81" t="s">
        <v>18</v>
      </c>
      <c r="Y3" s="81" t="s">
        <v>18</v>
      </c>
      <c r="Z3" s="81" t="s">
        <v>18</v>
      </c>
      <c r="AA3" s="81" t="s">
        <v>18</v>
      </c>
      <c r="AB3" s="81" t="s">
        <v>18</v>
      </c>
      <c r="AC3" s="81" t="s">
        <v>18</v>
      </c>
      <c r="AD3" s="85" t="s">
        <v>18</v>
      </c>
      <c r="AE3" s="81" t="s">
        <v>18</v>
      </c>
      <c r="AF3" s="81" t="s">
        <v>18</v>
      </c>
      <c r="AG3" s="81" t="s">
        <v>18</v>
      </c>
      <c r="AH3" s="81" t="s">
        <v>18</v>
      </c>
      <c r="AI3" s="81" t="s">
        <v>18</v>
      </c>
      <c r="AJ3" s="81" t="s">
        <v>18</v>
      </c>
      <c r="AK3" s="81" t="s">
        <v>18</v>
      </c>
      <c r="AL3" s="85" t="s">
        <v>18</v>
      </c>
      <c r="AM3" s="81" t="s">
        <v>18</v>
      </c>
      <c r="AN3" s="81" t="s">
        <v>18</v>
      </c>
      <c r="AO3" s="81" t="s">
        <v>18</v>
      </c>
      <c r="AP3" s="81" t="s">
        <v>18</v>
      </c>
      <c r="AQ3" s="81" t="s">
        <v>18</v>
      </c>
      <c r="AR3" s="81" t="s">
        <v>18</v>
      </c>
      <c r="AS3" s="81" t="s">
        <v>18</v>
      </c>
      <c r="AT3" s="81" t="s">
        <v>18</v>
      </c>
      <c r="AU3" s="81" t="s">
        <v>18</v>
      </c>
      <c r="AV3" s="81" t="s">
        <v>18</v>
      </c>
      <c r="AW3" s="85" t="s">
        <v>18</v>
      </c>
      <c r="AX3" s="81" t="s">
        <v>18</v>
      </c>
      <c r="AY3" s="81" t="s">
        <v>18</v>
      </c>
      <c r="AZ3" s="81" t="s">
        <v>18</v>
      </c>
      <c r="BA3" s="81" t="s">
        <v>18</v>
      </c>
      <c r="BB3" s="81" t="s">
        <v>18</v>
      </c>
      <c r="BC3" s="81" t="s">
        <v>18</v>
      </c>
      <c r="BD3" s="81" t="s">
        <v>18</v>
      </c>
      <c r="BE3" s="81" t="s">
        <v>18</v>
      </c>
      <c r="BF3" s="81" t="s">
        <v>18</v>
      </c>
      <c r="BG3" s="81" t="s">
        <v>18</v>
      </c>
      <c r="BH3" s="81" t="s">
        <v>18</v>
      </c>
      <c r="BI3" s="81" t="s">
        <v>18</v>
      </c>
      <c r="BJ3" s="81" t="s">
        <v>18</v>
      </c>
      <c r="BK3" s="81" t="s">
        <v>18</v>
      </c>
      <c r="BL3" s="81" t="s">
        <v>18</v>
      </c>
      <c r="BM3" s="81" t="s">
        <v>18</v>
      </c>
      <c r="BN3" s="81" t="s">
        <v>18</v>
      </c>
      <c r="BO3" s="81" t="s">
        <v>18</v>
      </c>
      <c r="BP3" s="81" t="s">
        <v>18</v>
      </c>
      <c r="BQ3" s="81" t="s">
        <v>18</v>
      </c>
      <c r="BR3" s="81" t="s">
        <v>18</v>
      </c>
      <c r="BS3" s="81" t="s">
        <v>18</v>
      </c>
      <c r="BT3" s="81" t="s">
        <v>18</v>
      </c>
      <c r="BU3" s="81" t="s">
        <v>18</v>
      </c>
      <c r="BV3" s="81" t="s">
        <v>18</v>
      </c>
      <c r="BW3" s="81" t="s">
        <v>18</v>
      </c>
      <c r="BX3" s="81" t="s">
        <v>18</v>
      </c>
      <c r="BY3" s="81" t="s">
        <v>18</v>
      </c>
      <c r="BZ3" s="81" t="s">
        <v>18</v>
      </c>
      <c r="CA3" s="81" t="s">
        <v>18</v>
      </c>
      <c r="CB3" s="81" t="s">
        <v>18</v>
      </c>
      <c r="CC3" s="81" t="s">
        <v>18</v>
      </c>
      <c r="CD3" s="81" t="s">
        <v>18</v>
      </c>
      <c r="CE3" s="81" t="s">
        <v>18</v>
      </c>
      <c r="CF3" s="81" t="s">
        <v>18</v>
      </c>
      <c r="CG3" s="81" t="s">
        <v>18</v>
      </c>
      <c r="CH3" s="81" t="s">
        <v>18</v>
      </c>
      <c r="CI3" s="81" t="s">
        <v>18</v>
      </c>
      <c r="CJ3" s="81" t="s">
        <v>18</v>
      </c>
      <c r="CK3" s="85" t="s">
        <v>18</v>
      </c>
      <c r="CL3" s="81" t="s">
        <v>18</v>
      </c>
      <c r="CM3" s="81" t="s">
        <v>18</v>
      </c>
      <c r="CN3" s="81" t="s">
        <v>18</v>
      </c>
      <c r="CO3" s="81" t="s">
        <v>18</v>
      </c>
      <c r="CP3" s="81" t="s">
        <v>18</v>
      </c>
      <c r="CQ3" s="81" t="s">
        <v>18</v>
      </c>
      <c r="CR3" s="81" t="s">
        <v>18</v>
      </c>
      <c r="CS3" s="85" t="s">
        <v>18</v>
      </c>
      <c r="CT3" s="81" t="s">
        <v>18</v>
      </c>
      <c r="CU3" s="81" t="s">
        <v>18</v>
      </c>
      <c r="CV3" s="81" t="s">
        <v>18</v>
      </c>
      <c r="CW3" s="81" t="s">
        <v>18</v>
      </c>
      <c r="CX3" s="81" t="s">
        <v>18</v>
      </c>
      <c r="CY3" s="81" t="s">
        <v>18</v>
      </c>
      <c r="CZ3" s="81" t="s">
        <v>18</v>
      </c>
      <c r="DA3" s="81" t="s">
        <v>18</v>
      </c>
      <c r="DB3" s="81" t="s">
        <v>18</v>
      </c>
      <c r="DC3" s="81" t="s">
        <v>18</v>
      </c>
      <c r="DD3" s="85" t="s">
        <v>18</v>
      </c>
      <c r="DE3" s="81" t="s">
        <v>18</v>
      </c>
      <c r="DF3" s="81" t="s">
        <v>18</v>
      </c>
      <c r="DG3" s="81" t="s">
        <v>18</v>
      </c>
      <c r="DH3" s="81" t="s">
        <v>18</v>
      </c>
      <c r="DI3" s="81" t="s">
        <v>18</v>
      </c>
      <c r="DJ3" s="81" t="s">
        <v>18</v>
      </c>
      <c r="DK3" s="81" t="s">
        <v>18</v>
      </c>
      <c r="DL3" s="81" t="s">
        <v>18</v>
      </c>
      <c r="DM3" s="81" t="s">
        <v>18</v>
      </c>
      <c r="DN3" s="81" t="s">
        <v>18</v>
      </c>
      <c r="DO3" s="81" t="s">
        <v>18</v>
      </c>
      <c r="DP3" s="81" t="s">
        <v>18</v>
      </c>
      <c r="DQ3" s="81" t="s">
        <v>18</v>
      </c>
      <c r="DR3" s="81" t="s">
        <v>18</v>
      </c>
      <c r="DS3" s="81" t="s">
        <v>18</v>
      </c>
      <c r="DT3" s="81" t="s">
        <v>18</v>
      </c>
      <c r="DU3" s="81" t="s">
        <v>18</v>
      </c>
      <c r="DV3" s="81" t="s">
        <v>18</v>
      </c>
      <c r="DW3" s="81" t="s">
        <v>18</v>
      </c>
      <c r="DX3" s="81" t="s">
        <v>18</v>
      </c>
      <c r="DY3" s="81" t="s">
        <v>18</v>
      </c>
      <c r="DZ3" s="81" t="s">
        <v>18</v>
      </c>
      <c r="EA3" s="81" t="s">
        <v>18</v>
      </c>
      <c r="EB3" s="81" t="s">
        <v>18</v>
      </c>
      <c r="EC3" s="81" t="s">
        <v>18</v>
      </c>
      <c r="ED3" s="81" t="s">
        <v>18</v>
      </c>
      <c r="EE3" s="81" t="s">
        <v>18</v>
      </c>
      <c r="EF3" s="81" t="s">
        <v>18</v>
      </c>
      <c r="EG3" s="81" t="s">
        <v>18</v>
      </c>
      <c r="EH3" s="81" t="s">
        <v>18</v>
      </c>
      <c r="EI3" s="81" t="s">
        <v>18</v>
      </c>
      <c r="EJ3" s="81" t="s">
        <v>18</v>
      </c>
      <c r="EK3" s="81" t="s">
        <v>18</v>
      </c>
      <c r="EL3" s="81" t="s">
        <v>18</v>
      </c>
      <c r="EM3" s="81" t="s">
        <v>18</v>
      </c>
      <c r="EN3" s="81" t="s">
        <v>18</v>
      </c>
      <c r="EO3" s="81" t="s">
        <v>18</v>
      </c>
      <c r="EP3" s="81" t="s">
        <v>18</v>
      </c>
      <c r="EQ3" s="81" t="s">
        <v>18</v>
      </c>
      <c r="ER3" s="81" t="s">
        <v>18</v>
      </c>
      <c r="ES3" s="81" t="s">
        <v>18</v>
      </c>
      <c r="ET3" s="81" t="s">
        <v>18</v>
      </c>
      <c r="EU3" s="81" t="s">
        <v>18</v>
      </c>
      <c r="EV3" s="81" t="s">
        <v>18</v>
      </c>
      <c r="EW3" s="81" t="s">
        <v>18</v>
      </c>
      <c r="EX3" s="81" t="s">
        <v>18</v>
      </c>
      <c r="EY3" s="81" t="s">
        <v>18</v>
      </c>
      <c r="EZ3" s="81" t="s">
        <v>18</v>
      </c>
      <c r="FA3" s="81" t="s">
        <v>18</v>
      </c>
      <c r="FB3" s="81" t="s">
        <v>18</v>
      </c>
      <c r="FC3" s="81" t="s">
        <v>18</v>
      </c>
      <c r="FD3" s="81" t="s">
        <v>18</v>
      </c>
      <c r="FE3" s="81" t="s">
        <v>18</v>
      </c>
      <c r="FF3" s="81" t="s">
        <v>18</v>
      </c>
      <c r="FG3" s="81" t="s">
        <v>18</v>
      </c>
      <c r="FH3" s="81" t="s">
        <v>18</v>
      </c>
      <c r="FI3" s="81" t="s">
        <v>18</v>
      </c>
      <c r="FJ3" s="81" t="s">
        <v>18</v>
      </c>
      <c r="FK3" s="81" t="s">
        <v>18</v>
      </c>
      <c r="FL3" s="81" t="s">
        <v>18</v>
      </c>
      <c r="FM3" s="81" t="s">
        <v>18</v>
      </c>
      <c r="FN3" s="81" t="s">
        <v>18</v>
      </c>
      <c r="FO3" s="81" t="s">
        <v>18</v>
      </c>
      <c r="FP3" s="81" t="s">
        <v>18</v>
      </c>
      <c r="FQ3" s="81" t="s">
        <v>18</v>
      </c>
      <c r="FR3" s="81" t="s">
        <v>18</v>
      </c>
      <c r="FS3" s="81" t="s">
        <v>18</v>
      </c>
      <c r="FT3" s="81" t="s">
        <v>18</v>
      </c>
      <c r="FU3" s="81" t="s">
        <v>18</v>
      </c>
      <c r="FV3" s="81" t="s">
        <v>18</v>
      </c>
      <c r="FW3" s="81" t="s">
        <v>18</v>
      </c>
      <c r="FX3" s="81" t="s">
        <v>18</v>
      </c>
      <c r="FY3" s="81" t="s">
        <v>18</v>
      </c>
      <c r="FZ3" s="81" t="s">
        <v>18</v>
      </c>
      <c r="GA3" s="81" t="s">
        <v>18</v>
      </c>
      <c r="GB3" s="81" t="s">
        <v>18</v>
      </c>
      <c r="GC3" s="81" t="s">
        <v>18</v>
      </c>
      <c r="GD3" s="81" t="s">
        <v>18</v>
      </c>
      <c r="GE3" s="81" t="s">
        <v>18</v>
      </c>
      <c r="GF3" s="81" t="s">
        <v>18</v>
      </c>
      <c r="GG3" s="81" t="s">
        <v>18</v>
      </c>
      <c r="GH3" s="81" t="s">
        <v>18</v>
      </c>
      <c r="GI3" s="81" t="s">
        <v>18</v>
      </c>
      <c r="GJ3" s="137" t="s">
        <v>18</v>
      </c>
      <c r="GK3" s="137" t="s">
        <v>18</v>
      </c>
      <c r="GL3" s="137" t="s">
        <v>18</v>
      </c>
      <c r="GM3" s="137" t="s">
        <v>18</v>
      </c>
      <c r="GN3" s="137" t="s">
        <v>18</v>
      </c>
      <c r="GO3" s="137" t="s">
        <v>18</v>
      </c>
      <c r="GP3" s="137" t="s">
        <v>18</v>
      </c>
      <c r="GQ3" s="137" t="s">
        <v>18</v>
      </c>
      <c r="GR3" s="81" t="s">
        <v>18</v>
      </c>
      <c r="GS3" s="81" t="s">
        <v>18</v>
      </c>
      <c r="GT3" s="81" t="s">
        <v>18</v>
      </c>
      <c r="GU3" s="81" t="s">
        <v>18</v>
      </c>
      <c r="GV3" s="81" t="s">
        <v>18</v>
      </c>
      <c r="GW3" s="81" t="s">
        <v>18</v>
      </c>
      <c r="GX3" s="81" t="s">
        <v>18</v>
      </c>
      <c r="GY3" s="81" t="s">
        <v>18</v>
      </c>
      <c r="GZ3" s="81" t="s">
        <v>18</v>
      </c>
      <c r="HA3" s="81" t="s">
        <v>18</v>
      </c>
      <c r="HB3" s="81" t="s">
        <v>18</v>
      </c>
      <c r="HC3" s="81" t="s">
        <v>18</v>
      </c>
      <c r="HD3" s="81" t="s">
        <v>18</v>
      </c>
      <c r="HE3" s="81" t="s">
        <v>18</v>
      </c>
      <c r="HF3" s="81" t="s">
        <v>18</v>
      </c>
      <c r="HG3" s="81" t="s">
        <v>18</v>
      </c>
      <c r="HH3" s="81" t="s">
        <v>18</v>
      </c>
      <c r="HI3" s="81" t="s">
        <v>18</v>
      </c>
      <c r="HJ3" s="81" t="s">
        <v>18</v>
      </c>
      <c r="HK3" s="81" t="s">
        <v>18</v>
      </c>
      <c r="HL3" s="81" t="s">
        <v>18</v>
      </c>
      <c r="HM3" s="81" t="s">
        <v>18</v>
      </c>
      <c r="HN3" s="81" t="s">
        <v>18</v>
      </c>
      <c r="HO3" s="81" t="s">
        <v>18</v>
      </c>
      <c r="HP3" s="81" t="s">
        <v>18</v>
      </c>
      <c r="HQ3" s="81" t="s">
        <v>18</v>
      </c>
      <c r="HR3" s="81" t="s">
        <v>18</v>
      </c>
      <c r="HS3" s="81" t="s">
        <v>18</v>
      </c>
      <c r="HT3" s="81" t="s">
        <v>18</v>
      </c>
      <c r="HU3" s="81" t="s">
        <v>18</v>
      </c>
      <c r="HV3" s="137" t="s">
        <v>18</v>
      </c>
      <c r="HW3" s="81" t="s">
        <v>18</v>
      </c>
      <c r="HX3" s="137" t="s">
        <v>18</v>
      </c>
      <c r="HY3" s="81" t="s">
        <v>18</v>
      </c>
      <c r="HZ3" s="137" t="s">
        <v>18</v>
      </c>
      <c r="IA3" s="81" t="s">
        <v>18</v>
      </c>
      <c r="IB3" s="137" t="s">
        <v>18</v>
      </c>
      <c r="IC3" s="81" t="s">
        <v>18</v>
      </c>
      <c r="ID3" s="137" t="s">
        <v>18</v>
      </c>
      <c r="IE3" s="81" t="s">
        <v>18</v>
      </c>
      <c r="IF3" s="137" t="s">
        <v>18</v>
      </c>
      <c r="IG3" s="81" t="s">
        <v>18</v>
      </c>
      <c r="IH3" s="137" t="s">
        <v>18</v>
      </c>
      <c r="II3" s="81" t="s">
        <v>18</v>
      </c>
      <c r="IJ3" s="137" t="s">
        <v>18</v>
      </c>
      <c r="IK3" s="81" t="s">
        <v>18</v>
      </c>
      <c r="IL3" s="137" t="s">
        <v>18</v>
      </c>
      <c r="IM3" s="81" t="s">
        <v>18</v>
      </c>
      <c r="IN3" s="137" t="s">
        <v>18</v>
      </c>
      <c r="IO3" s="81" t="s">
        <v>18</v>
      </c>
      <c r="IP3" s="137" t="s">
        <v>18</v>
      </c>
      <c r="IQ3" s="81" t="s">
        <v>18</v>
      </c>
      <c r="IR3" s="137" t="s">
        <v>18</v>
      </c>
      <c r="IS3" s="81" t="s">
        <v>18</v>
      </c>
      <c r="IT3" s="137" t="s">
        <v>18</v>
      </c>
      <c r="IU3" s="81" t="s">
        <v>18</v>
      </c>
      <c r="IV3" s="137" t="s">
        <v>18</v>
      </c>
      <c r="IW3" s="81" t="s">
        <v>18</v>
      </c>
      <c r="IX3" s="137" t="s">
        <v>18</v>
      </c>
      <c r="IY3" s="81" t="s">
        <v>18</v>
      </c>
      <c r="IZ3" s="137" t="s">
        <v>18</v>
      </c>
      <c r="JA3" s="81" t="s">
        <v>18</v>
      </c>
      <c r="JB3" s="137" t="s">
        <v>18</v>
      </c>
      <c r="JC3" s="81" t="s">
        <v>18</v>
      </c>
      <c r="JD3" s="137" t="s">
        <v>18</v>
      </c>
      <c r="JE3" s="81" t="s">
        <v>18</v>
      </c>
      <c r="JF3" s="137" t="s">
        <v>18</v>
      </c>
      <c r="JG3" s="81" t="s">
        <v>18</v>
      </c>
      <c r="JH3" s="137" t="s">
        <v>18</v>
      </c>
      <c r="JI3" s="81" t="s">
        <v>18</v>
      </c>
      <c r="JJ3" s="137" t="s">
        <v>18</v>
      </c>
      <c r="JK3" s="81" t="s">
        <v>18</v>
      </c>
      <c r="JL3" s="137" t="s">
        <v>18</v>
      </c>
      <c r="JM3" s="81" t="s">
        <v>18</v>
      </c>
      <c r="JN3" s="137" t="s">
        <v>18</v>
      </c>
      <c r="JO3" s="81" t="s">
        <v>18</v>
      </c>
      <c r="JP3" s="137" t="s">
        <v>18</v>
      </c>
      <c r="JQ3" s="81" t="s">
        <v>18</v>
      </c>
      <c r="JR3" s="137" t="s">
        <v>18</v>
      </c>
      <c r="JS3" s="81" t="s">
        <v>18</v>
      </c>
      <c r="JT3" s="137" t="s">
        <v>18</v>
      </c>
      <c r="JU3" s="81" t="s">
        <v>18</v>
      </c>
      <c r="JV3" s="137" t="s">
        <v>18</v>
      </c>
      <c r="JW3" s="81" t="s">
        <v>18</v>
      </c>
      <c r="JX3" s="137" t="s">
        <v>18</v>
      </c>
      <c r="JY3" s="81" t="s">
        <v>18</v>
      </c>
      <c r="JZ3" s="137" t="s">
        <v>18</v>
      </c>
      <c r="KA3" s="81" t="s">
        <v>18</v>
      </c>
      <c r="KB3" s="137" t="s">
        <v>18</v>
      </c>
      <c r="KC3" s="81" t="s">
        <v>18</v>
      </c>
      <c r="KD3" s="137" t="s">
        <v>18</v>
      </c>
      <c r="KE3" s="81" t="s">
        <v>18</v>
      </c>
      <c r="KF3" s="81" t="s">
        <v>18</v>
      </c>
      <c r="KG3" s="81" t="s">
        <v>18</v>
      </c>
      <c r="KH3" s="81" t="s">
        <v>18</v>
      </c>
      <c r="KI3" s="81" t="s">
        <v>18</v>
      </c>
      <c r="KJ3" s="81" t="s">
        <v>18</v>
      </c>
      <c r="KK3" s="81" t="s">
        <v>18</v>
      </c>
      <c r="KL3" s="81" t="s">
        <v>18</v>
      </c>
      <c r="KM3" s="81" t="s">
        <v>18</v>
      </c>
      <c r="KN3" s="81" t="s">
        <v>18</v>
      </c>
      <c r="KO3" s="81" t="s">
        <v>18</v>
      </c>
      <c r="KP3" s="81" t="s">
        <v>18</v>
      </c>
      <c r="KQ3" s="81" t="s">
        <v>18</v>
      </c>
      <c r="KR3" s="81" t="s">
        <v>18</v>
      </c>
      <c r="KS3" s="81" t="s">
        <v>18</v>
      </c>
      <c r="KT3" s="81" t="s">
        <v>18</v>
      </c>
      <c r="KU3" s="81" t="s">
        <v>18</v>
      </c>
      <c r="KV3" s="81" t="s">
        <v>18</v>
      </c>
      <c r="KW3" s="81" t="s">
        <v>18</v>
      </c>
      <c r="KX3" s="81" t="s">
        <v>18</v>
      </c>
      <c r="KY3" s="81" t="s">
        <v>18</v>
      </c>
      <c r="KZ3" s="81" t="s">
        <v>18</v>
      </c>
      <c r="LA3" s="81" t="s">
        <v>18</v>
      </c>
      <c r="LB3" s="81" t="s">
        <v>18</v>
      </c>
      <c r="LC3" s="81" t="s">
        <v>18</v>
      </c>
      <c r="LD3" s="81" t="s">
        <v>18</v>
      </c>
      <c r="LE3" s="81" t="s">
        <v>18</v>
      </c>
      <c r="LF3" s="81" t="s">
        <v>18</v>
      </c>
      <c r="LG3" s="81" t="s">
        <v>18</v>
      </c>
      <c r="LH3" s="81" t="s">
        <v>18</v>
      </c>
      <c r="LI3" s="81" t="s">
        <v>18</v>
      </c>
      <c r="LJ3" s="81" t="s">
        <v>18</v>
      </c>
      <c r="LK3" s="137" t="s">
        <v>18</v>
      </c>
      <c r="LL3" s="81" t="s">
        <v>18</v>
      </c>
      <c r="LM3" s="81" t="s">
        <v>18</v>
      </c>
      <c r="LN3" s="81" t="s">
        <v>18</v>
      </c>
      <c r="LO3" s="81" t="s">
        <v>18</v>
      </c>
      <c r="LP3" s="81" t="s">
        <v>18</v>
      </c>
      <c r="LQ3" s="81" t="s">
        <v>18</v>
      </c>
      <c r="LR3" s="81" t="s">
        <v>18</v>
      </c>
      <c r="LS3" s="81" t="s">
        <v>18</v>
      </c>
      <c r="LT3" s="81" t="s">
        <v>18</v>
      </c>
      <c r="LU3" s="81" t="s">
        <v>18</v>
      </c>
      <c r="LV3" s="137" t="s">
        <v>18</v>
      </c>
      <c r="LW3" s="137" t="s">
        <v>18</v>
      </c>
      <c r="LX3" s="137" t="s">
        <v>18</v>
      </c>
      <c r="LY3" s="137" t="s">
        <v>18</v>
      </c>
      <c r="LZ3" s="137" t="s">
        <v>18</v>
      </c>
      <c r="MA3" s="137" t="s">
        <v>18</v>
      </c>
      <c r="MB3" s="137" t="s">
        <v>18</v>
      </c>
      <c r="MC3" s="137" t="s">
        <v>18</v>
      </c>
      <c r="MD3" s="137" t="s">
        <v>18</v>
      </c>
      <c r="ME3" s="137" t="s">
        <v>18</v>
      </c>
      <c r="MF3" s="137" t="s">
        <v>18</v>
      </c>
      <c r="MG3" s="137" t="s">
        <v>18</v>
      </c>
      <c r="MH3" s="137" t="s">
        <v>18</v>
      </c>
      <c r="MI3" s="137" t="s">
        <v>18</v>
      </c>
      <c r="MJ3" s="137" t="s">
        <v>18</v>
      </c>
      <c r="MK3" s="137" t="s">
        <v>18</v>
      </c>
      <c r="ML3" s="137" t="s">
        <v>18</v>
      </c>
      <c r="MM3" s="137" t="s">
        <v>18</v>
      </c>
      <c r="MN3" s="137" t="s">
        <v>18</v>
      </c>
      <c r="MO3" s="137" t="s">
        <v>18</v>
      </c>
      <c r="MP3" s="81" t="s">
        <v>18</v>
      </c>
      <c r="MQ3" s="81" t="s">
        <v>18</v>
      </c>
      <c r="MR3" s="81" t="s">
        <v>18</v>
      </c>
      <c r="MS3" s="81" t="s">
        <v>18</v>
      </c>
      <c r="MT3" s="81" t="s">
        <v>18</v>
      </c>
      <c r="MU3" s="81" t="s">
        <v>18</v>
      </c>
      <c r="MV3" s="81" t="s">
        <v>18</v>
      </c>
      <c r="MW3" s="81" t="s">
        <v>18</v>
      </c>
      <c r="MX3" s="81" t="s">
        <v>18</v>
      </c>
      <c r="MY3" s="81" t="s">
        <v>18</v>
      </c>
      <c r="MZ3" s="137" t="s">
        <v>18</v>
      </c>
      <c r="NA3" s="137" t="s">
        <v>18</v>
      </c>
      <c r="NB3" s="137" t="s">
        <v>18</v>
      </c>
      <c r="NC3" s="137" t="s">
        <v>18</v>
      </c>
      <c r="ND3" s="137" t="s">
        <v>18</v>
      </c>
      <c r="NE3" s="137" t="s">
        <v>18</v>
      </c>
      <c r="NF3" s="137" t="s">
        <v>18</v>
      </c>
      <c r="NG3" s="137" t="s">
        <v>18</v>
      </c>
      <c r="NH3" s="137" t="s">
        <v>18</v>
      </c>
      <c r="NI3" s="137" t="s">
        <v>18</v>
      </c>
      <c r="NJ3" s="137" t="s">
        <v>18</v>
      </c>
      <c r="NK3" s="137" t="s">
        <v>18</v>
      </c>
      <c r="NL3" s="137" t="s">
        <v>18</v>
      </c>
      <c r="NM3" s="137" t="s">
        <v>18</v>
      </c>
      <c r="NN3" s="137" t="s">
        <v>18</v>
      </c>
      <c r="NO3" s="137" t="s">
        <v>18</v>
      </c>
      <c r="NP3" s="137" t="s">
        <v>18</v>
      </c>
      <c r="NQ3" s="137" t="s">
        <v>18</v>
      </c>
      <c r="NR3" s="137" t="s">
        <v>18</v>
      </c>
      <c r="NS3" s="137" t="s">
        <v>18</v>
      </c>
      <c r="NW3" s="356" t="s">
        <v>19</v>
      </c>
      <c r="NX3" s="315" t="s">
        <v>20</v>
      </c>
      <c r="NY3" s="315" t="s">
        <v>21</v>
      </c>
      <c r="NZ3" s="315" t="s">
        <v>22</v>
      </c>
      <c r="OA3" s="315" t="s">
        <v>23</v>
      </c>
      <c r="OB3" s="315" t="s">
        <v>24</v>
      </c>
      <c r="OC3" s="315" t="s">
        <v>25</v>
      </c>
      <c r="OD3" s="315" t="s">
        <v>26</v>
      </c>
      <c r="OE3" s="315" t="s">
        <v>27</v>
      </c>
      <c r="OF3" s="315" t="s">
        <v>28</v>
      </c>
      <c r="OG3" s="315" t="s">
        <v>29</v>
      </c>
      <c r="OH3" s="315" t="s">
        <v>30</v>
      </c>
      <c r="OI3" s="315" t="s">
        <v>31</v>
      </c>
      <c r="OJ3" s="314" t="s">
        <v>32</v>
      </c>
      <c r="OK3" s="314" t="s">
        <v>33</v>
      </c>
      <c r="OL3" s="314" t="s">
        <v>34</v>
      </c>
      <c r="OM3" s="314" t="s">
        <v>35</v>
      </c>
      <c r="ON3" s="314" t="s">
        <v>36</v>
      </c>
      <c r="OP3" s="137" t="s">
        <v>18</v>
      </c>
      <c r="OQ3" s="137" t="s">
        <v>18</v>
      </c>
      <c r="OR3" s="137" t="s">
        <v>18</v>
      </c>
      <c r="OS3" s="137" t="s">
        <v>18</v>
      </c>
      <c r="OT3" s="137" t="s">
        <v>18</v>
      </c>
      <c r="OU3" s="137" t="s">
        <v>18</v>
      </c>
      <c r="OV3" s="137" t="s">
        <v>18</v>
      </c>
      <c r="OW3" s="137" t="s">
        <v>18</v>
      </c>
      <c r="OX3" s="137" t="s">
        <v>18</v>
      </c>
      <c r="OY3" s="137" t="s">
        <v>18</v>
      </c>
      <c r="OZ3" s="137" t="s">
        <v>18</v>
      </c>
      <c r="PA3" s="137" t="s">
        <v>18</v>
      </c>
      <c r="PB3" s="137" t="s">
        <v>18</v>
      </c>
      <c r="PC3" s="137" t="s">
        <v>18</v>
      </c>
    </row>
    <row r="4" spans="2:770" ht="17.25" customHeight="1">
      <c r="B4" s="468" t="s">
        <v>37</v>
      </c>
      <c r="C4" s="468"/>
      <c r="D4" s="384">
        <f>SUM(D5:D9)</f>
        <v>2270</v>
      </c>
      <c r="E4" s="384">
        <f t="shared" ref="E4:H4" si="9">SUM(E5:E9)</f>
        <v>904.19</v>
      </c>
      <c r="F4" s="384">
        <f>SUM(F5:F9)</f>
        <v>4519</v>
      </c>
      <c r="G4" s="384">
        <f t="shared" si="9"/>
        <v>5995</v>
      </c>
      <c r="H4" s="384">
        <f t="shared" si="9"/>
        <v>343</v>
      </c>
      <c r="I4" s="384">
        <f>SUM(I6:I9)</f>
        <v>0</v>
      </c>
      <c r="J4" s="384">
        <f>SUM(J5:J9)</f>
        <v>14031.189999999999</v>
      </c>
      <c r="L4" s="198">
        <f>M4/N4</f>
        <v>0.11303096599725111</v>
      </c>
      <c r="M4" s="237">
        <f>J4/10^3</f>
        <v>14.031189999999999</v>
      </c>
      <c r="N4" s="234">
        <f>SUM(OP4:PT4)/10^9</f>
        <v>124.13580540700001</v>
      </c>
      <c r="O4" s="232">
        <f ca="1">(Q4*1000-N4)/(31-DAY(TODAY()))</f>
        <v>22997.848633837588</v>
      </c>
      <c r="P4" s="143" t="s">
        <v>11</v>
      </c>
      <c r="Q4" s="246">
        <f>SUM(Q5:Q10)</f>
        <v>253.10047077762044</v>
      </c>
      <c r="R4" s="258">
        <f>N4/Q4</f>
        <v>0.49046058676069559</v>
      </c>
      <c r="S4" s="82">
        <v>1864710495</v>
      </c>
      <c r="T4" s="82">
        <v>7236707707</v>
      </c>
      <c r="U4" s="82">
        <v>6445813442</v>
      </c>
      <c r="V4" s="82">
        <v>6498128737</v>
      </c>
      <c r="W4" s="82">
        <v>2521250314</v>
      </c>
      <c r="X4" s="82">
        <v>6727348061</v>
      </c>
      <c r="Y4" s="82">
        <v>5727155509</v>
      </c>
      <c r="Z4" s="82">
        <v>6446776805</v>
      </c>
      <c r="AA4" s="82">
        <v>5898176688</v>
      </c>
      <c r="AB4" s="82">
        <v>5887988932</v>
      </c>
      <c r="AC4" s="82">
        <v>8019668297</v>
      </c>
      <c r="AD4" s="86">
        <v>1958677580</v>
      </c>
      <c r="AE4" s="82">
        <v>6367291146</v>
      </c>
      <c r="AF4" s="82">
        <v>6192702917</v>
      </c>
      <c r="AG4" s="82">
        <v>7061324576</v>
      </c>
      <c r="AH4" s="82">
        <v>5918199300</v>
      </c>
      <c r="AI4" s="82">
        <v>5649910846</v>
      </c>
      <c r="AJ4" s="82">
        <v>6224258101</v>
      </c>
      <c r="AK4" s="82">
        <v>2459848641</v>
      </c>
      <c r="AL4" s="86">
        <v>8325027109</v>
      </c>
      <c r="AM4" s="82">
        <v>6414402893</v>
      </c>
      <c r="AN4" s="82">
        <v>5129166417</v>
      </c>
      <c r="AO4" s="82">
        <v>5679810235</v>
      </c>
      <c r="AP4" s="82">
        <v>6479361988</v>
      </c>
      <c r="AQ4" s="82">
        <v>5798326723</v>
      </c>
      <c r="AR4" s="82">
        <v>2491367543</v>
      </c>
      <c r="AS4" s="82">
        <v>2696698865</v>
      </c>
      <c r="AT4" s="82">
        <v>2129629745</v>
      </c>
      <c r="AU4" s="82">
        <v>597843539</v>
      </c>
      <c r="AV4" s="82">
        <v>1320933540</v>
      </c>
      <c r="AW4" s="86">
        <v>1989170050</v>
      </c>
      <c r="AX4" s="82">
        <v>1207640088</v>
      </c>
      <c r="AY4" s="82">
        <v>624995423</v>
      </c>
      <c r="AZ4" s="82">
        <v>6033791892</v>
      </c>
      <c r="BA4" s="82">
        <v>5718493006</v>
      </c>
      <c r="BB4" s="82">
        <v>5993381368</v>
      </c>
      <c r="BC4" s="82">
        <v>5946449347</v>
      </c>
      <c r="BD4" s="82">
        <v>6810125465</v>
      </c>
      <c r="BE4" s="82">
        <v>7056575760</v>
      </c>
      <c r="BF4" s="82">
        <v>2279734804</v>
      </c>
      <c r="BG4" s="82">
        <v>7233849841</v>
      </c>
      <c r="BH4" s="82">
        <v>6834543839</v>
      </c>
      <c r="BI4" s="82">
        <v>6121826827</v>
      </c>
      <c r="BJ4" s="82">
        <v>6874329796</v>
      </c>
      <c r="BK4" s="82">
        <v>7032501329</v>
      </c>
      <c r="BL4" s="82">
        <v>8559687570</v>
      </c>
      <c r="BM4" s="82">
        <v>1976305782</v>
      </c>
      <c r="BN4" s="82">
        <v>8691212690</v>
      </c>
      <c r="BO4" s="82">
        <v>7706477914</v>
      </c>
      <c r="BP4" s="82">
        <v>8110984635</v>
      </c>
      <c r="BQ4" s="82">
        <v>7251325785</v>
      </c>
      <c r="BR4" s="82">
        <v>7362890105</v>
      </c>
      <c r="BS4" s="82">
        <v>7639502228</v>
      </c>
      <c r="BT4" s="82">
        <v>2190395781</v>
      </c>
      <c r="BU4" s="82">
        <v>8899780178</v>
      </c>
      <c r="BV4" s="82">
        <v>8126471943</v>
      </c>
      <c r="BW4" s="82">
        <v>7529142469</v>
      </c>
      <c r="BX4" s="82">
        <v>6088717213</v>
      </c>
      <c r="BY4" s="82">
        <v>7695851801</v>
      </c>
      <c r="BZ4" s="82">
        <v>7414850951</v>
      </c>
      <c r="CA4" s="82">
        <v>2051278431</v>
      </c>
      <c r="CB4" s="82">
        <v>8278171057</v>
      </c>
      <c r="CC4" s="82">
        <v>7144629858</v>
      </c>
      <c r="CD4" s="82">
        <v>7093809927</v>
      </c>
      <c r="CE4" s="82">
        <v>6909403960</v>
      </c>
      <c r="CF4" s="82">
        <v>7987877119</v>
      </c>
      <c r="CG4" s="82">
        <v>8078011701</v>
      </c>
      <c r="CH4" s="82">
        <v>1706886311</v>
      </c>
      <c r="CI4" s="82">
        <v>8579035422</v>
      </c>
      <c r="CJ4" s="82">
        <v>7770020728</v>
      </c>
      <c r="CK4" s="86">
        <v>7729051695</v>
      </c>
      <c r="CL4" s="82">
        <v>6437815940</v>
      </c>
      <c r="CM4" s="82">
        <v>7415436003</v>
      </c>
      <c r="CN4" s="82">
        <v>7690022665</v>
      </c>
      <c r="CO4" s="82">
        <v>2086301033</v>
      </c>
      <c r="CP4" s="82">
        <v>8541920949</v>
      </c>
      <c r="CQ4" s="82">
        <v>8356397615</v>
      </c>
      <c r="CR4" s="82">
        <v>8865322725</v>
      </c>
      <c r="CS4" s="86">
        <v>7475593961</v>
      </c>
      <c r="CT4" s="82">
        <v>8070891775</v>
      </c>
      <c r="CU4" s="82">
        <v>7886083468</v>
      </c>
      <c r="CV4" s="82">
        <v>2769187597</v>
      </c>
      <c r="CW4" s="82">
        <v>8411391009</v>
      </c>
      <c r="CX4" s="82">
        <v>6528857777</v>
      </c>
      <c r="CY4" s="82">
        <v>7405203353</v>
      </c>
      <c r="CZ4" s="82">
        <v>7103291046</v>
      </c>
      <c r="DA4" s="82">
        <v>7284186779</v>
      </c>
      <c r="DB4" s="82">
        <v>8899921083</v>
      </c>
      <c r="DC4" s="82">
        <v>2270586923</v>
      </c>
      <c r="DD4" s="86">
        <v>9378364783</v>
      </c>
      <c r="DE4" s="82">
        <v>6707451210</v>
      </c>
      <c r="DF4" s="82">
        <v>6838842278</v>
      </c>
      <c r="DG4" s="82">
        <v>7498302944</v>
      </c>
      <c r="DH4" s="82">
        <v>7441861868</v>
      </c>
      <c r="DI4" s="82">
        <v>8583953237</v>
      </c>
      <c r="DJ4" s="82">
        <v>2193789921</v>
      </c>
      <c r="DK4" s="82">
        <v>1302294707</v>
      </c>
      <c r="DL4" s="82">
        <v>9469578664</v>
      </c>
      <c r="DM4" s="82">
        <v>8083647841</v>
      </c>
      <c r="DN4" s="82">
        <v>7698908342</v>
      </c>
      <c r="DO4" s="82">
        <v>6891118034</v>
      </c>
      <c r="DP4" s="82">
        <v>7888878205</v>
      </c>
      <c r="DQ4" s="82">
        <v>1904263137</v>
      </c>
      <c r="DR4" s="82">
        <v>7688875230</v>
      </c>
      <c r="DS4" s="82">
        <v>7472930158</v>
      </c>
      <c r="DT4" s="82">
        <v>6972784834</v>
      </c>
      <c r="DU4" s="82">
        <v>7670063503</v>
      </c>
      <c r="DV4" s="82">
        <v>7453610873</v>
      </c>
      <c r="DW4" s="82">
        <v>7983947766</v>
      </c>
      <c r="DX4" s="82">
        <v>2154090250</v>
      </c>
      <c r="DY4" s="82">
        <v>7797066246</v>
      </c>
      <c r="DZ4" s="82">
        <v>6017279527</v>
      </c>
      <c r="EA4" s="82">
        <v>7459970956</v>
      </c>
      <c r="EB4" s="82">
        <v>6353508836</v>
      </c>
      <c r="EC4" s="82">
        <v>6760219144</v>
      </c>
      <c r="ED4" s="82">
        <v>6516497256</v>
      </c>
      <c r="EE4" s="82">
        <v>1924162631</v>
      </c>
      <c r="EF4" s="82">
        <v>7805959709</v>
      </c>
      <c r="EG4" s="82">
        <v>9050482638</v>
      </c>
      <c r="EH4" s="82">
        <v>2801257691</v>
      </c>
      <c r="EI4" s="82">
        <v>950315397</v>
      </c>
      <c r="EJ4" s="82">
        <v>6770709291</v>
      </c>
      <c r="EK4" s="82">
        <v>5680826258</v>
      </c>
      <c r="EL4" s="82">
        <v>2259062303</v>
      </c>
      <c r="EM4" s="82">
        <v>8159205849</v>
      </c>
      <c r="EN4" s="82">
        <v>7781122218</v>
      </c>
      <c r="EO4" s="82">
        <v>7302909726</v>
      </c>
      <c r="EP4" s="82">
        <v>6916272179</v>
      </c>
      <c r="EQ4" s="82">
        <v>7826249442</v>
      </c>
      <c r="ER4" s="82">
        <v>8224724005</v>
      </c>
      <c r="ES4" s="82">
        <v>2046319069</v>
      </c>
      <c r="ET4" s="82">
        <v>8604797040</v>
      </c>
      <c r="EU4" s="82">
        <v>7401023372</v>
      </c>
      <c r="EV4" s="82">
        <v>6748515323</v>
      </c>
      <c r="EW4" s="82">
        <v>8036801100</v>
      </c>
      <c r="EX4" s="82">
        <v>7415397578</v>
      </c>
      <c r="EY4" s="82">
        <v>7928017796</v>
      </c>
      <c r="EZ4" s="82">
        <v>1654256386</v>
      </c>
      <c r="FA4" s="82">
        <v>8554522174</v>
      </c>
      <c r="FB4" s="82">
        <v>7379292790</v>
      </c>
      <c r="FC4" s="82">
        <v>7119113386</v>
      </c>
      <c r="FD4" s="82">
        <v>7453438702</v>
      </c>
      <c r="FE4" s="82">
        <v>7491569966</v>
      </c>
      <c r="FF4" s="82">
        <v>7444186725</v>
      </c>
      <c r="FG4" s="82">
        <v>2048561330</v>
      </c>
      <c r="FH4" s="82">
        <v>8761007596</v>
      </c>
      <c r="FI4" s="82">
        <v>8097711576</v>
      </c>
      <c r="FJ4" s="82">
        <v>6216222838</v>
      </c>
      <c r="FK4" s="82">
        <v>6786630725</v>
      </c>
      <c r="FL4" s="82">
        <v>6911906084</v>
      </c>
      <c r="FM4" s="82">
        <v>8679327743</v>
      </c>
      <c r="FN4" s="82">
        <v>2512236669</v>
      </c>
      <c r="FO4" s="82">
        <v>7267594228</v>
      </c>
      <c r="FP4" s="82">
        <v>7143340239</v>
      </c>
      <c r="FQ4" s="82">
        <v>7052288229</v>
      </c>
      <c r="FR4" s="82">
        <v>7466074379</v>
      </c>
      <c r="FS4" s="82">
        <v>7132998418</v>
      </c>
      <c r="FT4" s="82">
        <v>8193406699</v>
      </c>
      <c r="FU4" s="82">
        <v>2211313293</v>
      </c>
      <c r="FV4" s="82">
        <v>7441489378</v>
      </c>
      <c r="FW4" s="82">
        <v>7304826437</v>
      </c>
      <c r="FX4" s="82">
        <v>8113652499</v>
      </c>
      <c r="FY4" s="82">
        <v>7911493661</v>
      </c>
      <c r="FZ4" s="82">
        <v>7512421127</v>
      </c>
      <c r="GA4" s="82">
        <v>7730652232</v>
      </c>
      <c r="GB4" s="82">
        <v>2389006682</v>
      </c>
      <c r="GC4" s="82">
        <v>8190521115</v>
      </c>
      <c r="GD4" s="82">
        <v>7344267231</v>
      </c>
      <c r="GE4" s="82">
        <v>7290397019</v>
      </c>
      <c r="GF4" s="82">
        <v>7389201733</v>
      </c>
      <c r="GG4" s="82">
        <v>7431765864</v>
      </c>
      <c r="GH4" s="82">
        <v>8160741716</v>
      </c>
      <c r="GI4" s="82">
        <v>2259159315</v>
      </c>
      <c r="GJ4" s="82">
        <v>8925104986</v>
      </c>
      <c r="GK4" s="82">
        <v>8039052458</v>
      </c>
      <c r="GL4" s="82">
        <v>7595984317</v>
      </c>
      <c r="GM4" s="82">
        <v>7124020481</v>
      </c>
      <c r="GN4" s="82">
        <v>6018909044</v>
      </c>
      <c r="GO4" s="82">
        <v>8199678237</v>
      </c>
      <c r="GP4" s="82">
        <v>2294223629</v>
      </c>
      <c r="GQ4" s="82">
        <v>8093293948</v>
      </c>
      <c r="GR4" s="82">
        <v>7086340558</v>
      </c>
      <c r="GS4" s="82">
        <v>6813195649</v>
      </c>
      <c r="GT4" s="82">
        <v>6721354853</v>
      </c>
      <c r="GU4" s="82">
        <v>7391482265</v>
      </c>
      <c r="GV4" s="82">
        <v>8617358659</v>
      </c>
      <c r="GW4" s="82">
        <v>2396140879</v>
      </c>
      <c r="GX4" s="82">
        <v>8494377620</v>
      </c>
      <c r="GY4" s="82">
        <v>8177771407</v>
      </c>
      <c r="GZ4" s="82">
        <v>7736343794</v>
      </c>
      <c r="HA4" s="82">
        <v>8029242935</v>
      </c>
      <c r="HB4" s="82">
        <v>8564438912</v>
      </c>
      <c r="HC4" s="82">
        <v>8407803494</v>
      </c>
      <c r="HD4" s="82">
        <v>2348606763</v>
      </c>
      <c r="HE4" s="82">
        <v>8202509386</v>
      </c>
      <c r="HF4" s="82">
        <v>7950135922</v>
      </c>
      <c r="HG4" s="82">
        <v>7255138143</v>
      </c>
      <c r="HH4" s="82">
        <v>7600981777</v>
      </c>
      <c r="HI4" s="82">
        <v>6870080587</v>
      </c>
      <c r="HJ4" s="82">
        <v>8130908256</v>
      </c>
      <c r="HK4" s="82">
        <v>2651992624</v>
      </c>
      <c r="HL4" s="82">
        <v>8671845356</v>
      </c>
      <c r="HM4" s="82">
        <v>7364286385</v>
      </c>
      <c r="HN4" s="82">
        <v>7428474506</v>
      </c>
      <c r="HO4" s="82">
        <v>7400173854</v>
      </c>
      <c r="HP4" s="82">
        <v>7544481890</v>
      </c>
      <c r="HQ4" s="82">
        <v>7091772505</v>
      </c>
      <c r="HR4" s="82">
        <v>2514084341</v>
      </c>
      <c r="HS4" s="82">
        <v>9053053616</v>
      </c>
      <c r="HT4" s="82">
        <v>8140067994</v>
      </c>
      <c r="HU4" s="82">
        <v>8585802582</v>
      </c>
      <c r="HV4" s="82">
        <v>8639966843</v>
      </c>
      <c r="HW4" s="82">
        <v>7999795314</v>
      </c>
      <c r="HX4" s="82">
        <v>9139846478</v>
      </c>
      <c r="HY4" s="82">
        <v>2067598080</v>
      </c>
      <c r="HZ4" s="82">
        <v>7689207195</v>
      </c>
      <c r="IA4" s="82">
        <v>6872646844</v>
      </c>
      <c r="IB4" s="82">
        <v>7020207452</v>
      </c>
      <c r="IC4" s="82">
        <v>6610921589</v>
      </c>
      <c r="ID4" s="82">
        <v>7414266214</v>
      </c>
      <c r="IE4" s="82">
        <v>8007199557</v>
      </c>
      <c r="IF4" s="82">
        <v>2309318714</v>
      </c>
      <c r="IG4" s="82">
        <v>8657623399</v>
      </c>
      <c r="IH4" s="82">
        <v>7112932042</v>
      </c>
      <c r="II4" s="82">
        <v>7189232234</v>
      </c>
      <c r="IJ4" s="82">
        <v>7127647502</v>
      </c>
      <c r="IK4" s="82">
        <v>7850667393</v>
      </c>
      <c r="IL4" s="82">
        <v>8084368458</v>
      </c>
      <c r="IM4" s="82">
        <v>2392488308</v>
      </c>
      <c r="IN4" s="82">
        <v>8052925982</v>
      </c>
      <c r="IO4" s="82">
        <v>7508413758</v>
      </c>
      <c r="IP4" s="82">
        <v>7505884706</v>
      </c>
      <c r="IQ4" s="82">
        <v>6274312878</v>
      </c>
      <c r="IR4" s="82">
        <v>6735899686</v>
      </c>
      <c r="IS4" s="82">
        <v>7287995168</v>
      </c>
      <c r="IT4" s="82">
        <v>2111823140</v>
      </c>
      <c r="IU4" s="82">
        <v>8028218675</v>
      </c>
      <c r="IV4" s="82">
        <v>6217422390</v>
      </c>
      <c r="IW4" s="82">
        <v>7796247446</v>
      </c>
      <c r="IX4" s="82">
        <v>7079590530</v>
      </c>
      <c r="IY4" s="82">
        <v>9668215411</v>
      </c>
      <c r="IZ4" s="82">
        <v>9893697162</v>
      </c>
      <c r="JA4" s="82">
        <v>2652860740</v>
      </c>
      <c r="JB4" s="82">
        <v>2887941774</v>
      </c>
      <c r="JC4" s="82">
        <v>1943437069</v>
      </c>
      <c r="JD4" s="82">
        <v>7199800378</v>
      </c>
      <c r="JE4" s="82">
        <v>8101265055</v>
      </c>
      <c r="JF4" s="82">
        <v>7666314258</v>
      </c>
      <c r="JG4" s="82">
        <v>7860619531</v>
      </c>
      <c r="JH4" s="82">
        <v>2273940056</v>
      </c>
      <c r="JI4" s="82">
        <v>8552195784</v>
      </c>
      <c r="JJ4" s="82">
        <v>7052184662</v>
      </c>
      <c r="JK4" s="82">
        <v>7117477249</v>
      </c>
      <c r="JL4" s="82">
        <v>7324833591</v>
      </c>
      <c r="JM4" s="82">
        <v>9158791399</v>
      </c>
      <c r="JN4" s="82">
        <v>8590501914</v>
      </c>
      <c r="JO4" s="82">
        <v>2096245075</v>
      </c>
      <c r="JP4" s="82">
        <v>8103943757</v>
      </c>
      <c r="JQ4" s="82">
        <v>7637254483</v>
      </c>
      <c r="JR4" s="82">
        <v>9450364239</v>
      </c>
      <c r="JS4" s="82">
        <v>7155638207</v>
      </c>
      <c r="JT4" s="82">
        <v>6739489618</v>
      </c>
      <c r="JU4" s="82">
        <v>9525003284</v>
      </c>
      <c r="JV4" s="82">
        <v>2271523955</v>
      </c>
      <c r="JW4" s="82">
        <v>9504743935</v>
      </c>
      <c r="JX4" s="82">
        <v>7114818602</v>
      </c>
      <c r="JY4" s="82">
        <v>8169254273</v>
      </c>
      <c r="JZ4" s="82">
        <v>7490649142</v>
      </c>
      <c r="KA4" s="82">
        <v>8053591503</v>
      </c>
      <c r="KB4" s="82">
        <v>8875196954</v>
      </c>
      <c r="KC4" s="82">
        <v>2243656769</v>
      </c>
      <c r="KD4" s="82">
        <v>9612647717</v>
      </c>
      <c r="KE4" s="82">
        <v>10762147176</v>
      </c>
      <c r="KF4" s="82">
        <v>8225529426</v>
      </c>
      <c r="KG4" s="82">
        <v>8660586857</v>
      </c>
      <c r="KH4" s="82">
        <v>7176134278</v>
      </c>
      <c r="KI4" s="82">
        <v>8977024667</v>
      </c>
      <c r="KJ4" s="82">
        <v>3036150063</v>
      </c>
      <c r="KK4" s="82">
        <v>10214033024</v>
      </c>
      <c r="KL4" s="82">
        <v>7353954035</v>
      </c>
      <c r="KM4" s="82">
        <v>9553748124</v>
      </c>
      <c r="KN4" s="82">
        <v>8076318223</v>
      </c>
      <c r="KO4" s="82">
        <v>7847982960</v>
      </c>
      <c r="KP4" s="82">
        <v>9979971700</v>
      </c>
      <c r="KQ4" s="82">
        <v>3005060271</v>
      </c>
      <c r="KR4" s="82">
        <v>9834665702</v>
      </c>
      <c r="KS4" s="82">
        <v>7643945929</v>
      </c>
      <c r="KT4" s="82">
        <v>7659500924</v>
      </c>
      <c r="KU4" s="82">
        <v>8119761290</v>
      </c>
      <c r="KV4" s="82">
        <v>8055020037</v>
      </c>
      <c r="KW4" s="82">
        <v>8802944157</v>
      </c>
      <c r="KX4" s="82">
        <v>2825861048</v>
      </c>
      <c r="KY4" s="82">
        <v>9261037153</v>
      </c>
      <c r="KZ4" s="82">
        <v>7258218316</v>
      </c>
      <c r="LA4" s="82">
        <v>7582034277</v>
      </c>
      <c r="LB4" s="82">
        <v>8151463301</v>
      </c>
      <c r="LC4" s="82">
        <v>8177056300</v>
      </c>
      <c r="LD4" s="82">
        <v>9120984495</v>
      </c>
      <c r="LE4" s="82">
        <v>3122597035</v>
      </c>
      <c r="LF4" s="82">
        <v>8150604500</v>
      </c>
      <c r="LG4" s="82">
        <v>7312121065</v>
      </c>
      <c r="LH4" s="82">
        <v>7908200044</v>
      </c>
      <c r="LI4" s="82">
        <v>8641626200</v>
      </c>
      <c r="LJ4" s="82">
        <v>9006479064</v>
      </c>
      <c r="LK4" s="82">
        <v>8956074252</v>
      </c>
      <c r="LL4" s="82">
        <v>2694733068</v>
      </c>
      <c r="LM4" s="82">
        <v>8470465429</v>
      </c>
      <c r="LN4" s="82">
        <v>7674655750</v>
      </c>
      <c r="LO4" s="82">
        <v>7461332773</v>
      </c>
      <c r="LP4" s="82">
        <v>6865780577</v>
      </c>
      <c r="LQ4" s="82">
        <v>7620299468</v>
      </c>
      <c r="LR4" s="82">
        <v>9071552738</v>
      </c>
      <c r="LS4" s="82">
        <v>2394978972</v>
      </c>
      <c r="LT4" s="82">
        <v>7909106189</v>
      </c>
      <c r="LU4" s="82">
        <v>8993443644</v>
      </c>
      <c r="LV4" s="82">
        <v>6636456806</v>
      </c>
      <c r="LW4" s="82">
        <v>7032783653</v>
      </c>
      <c r="LX4" s="82">
        <v>6808301804</v>
      </c>
      <c r="LY4" s="82">
        <v>8521573961</v>
      </c>
      <c r="LZ4" s="82">
        <v>2293732741</v>
      </c>
      <c r="MA4" s="82">
        <v>8862421674</v>
      </c>
      <c r="MB4" s="82">
        <v>10181493334</v>
      </c>
      <c r="MC4" s="82">
        <v>7461330979</v>
      </c>
      <c r="MD4" s="82">
        <v>6541264474</v>
      </c>
      <c r="ME4" s="82">
        <v>8782542389</v>
      </c>
      <c r="MF4" s="82">
        <v>8100586743</v>
      </c>
      <c r="MG4" s="82">
        <v>2349751244</v>
      </c>
      <c r="MH4" s="82">
        <v>11274418191</v>
      </c>
      <c r="MI4" s="82">
        <v>8357508907</v>
      </c>
      <c r="MJ4" s="82">
        <v>8864623972</v>
      </c>
      <c r="MK4" s="82">
        <v>7715838695</v>
      </c>
      <c r="ML4" s="82">
        <v>8729681144</v>
      </c>
      <c r="MM4" s="82">
        <v>10383244884</v>
      </c>
      <c r="MN4" s="82">
        <v>2773341995</v>
      </c>
      <c r="MO4" s="82">
        <v>8459780902</v>
      </c>
      <c r="MP4" s="82">
        <v>8057545219</v>
      </c>
      <c r="MQ4" s="82">
        <v>7904255784</v>
      </c>
      <c r="MR4" s="82">
        <v>8034011413</v>
      </c>
      <c r="MS4" s="82">
        <v>8569524091</v>
      </c>
      <c r="MT4" s="82">
        <v>8361492131</v>
      </c>
      <c r="MU4" s="82">
        <v>2168328129</v>
      </c>
      <c r="MV4" s="82">
        <v>8109468868</v>
      </c>
      <c r="MW4" s="82">
        <v>7847277923</v>
      </c>
      <c r="MX4" s="82">
        <v>8289294161</v>
      </c>
      <c r="MY4" s="82">
        <v>8155615395</v>
      </c>
      <c r="MZ4" s="82">
        <v>7454871334</v>
      </c>
      <c r="NA4" s="82">
        <v>7580177494</v>
      </c>
      <c r="NB4" s="82">
        <v>2422688450</v>
      </c>
      <c r="NC4" s="82">
        <v>8166927871</v>
      </c>
      <c r="ND4" s="82">
        <v>7914715944</v>
      </c>
      <c r="NE4" s="82">
        <v>8498681533</v>
      </c>
      <c r="NF4" s="82">
        <v>7339000052</v>
      </c>
      <c r="NG4" s="82">
        <v>8369898873</v>
      </c>
      <c r="NH4" s="82">
        <v>10200225431</v>
      </c>
      <c r="NI4" s="82">
        <v>2621384663</v>
      </c>
      <c r="NJ4" s="82">
        <v>9390307666</v>
      </c>
      <c r="NK4" s="82">
        <v>8120969514</v>
      </c>
      <c r="NL4" s="82">
        <v>7812689798</v>
      </c>
      <c r="NM4" s="82">
        <v>8654289898</v>
      </c>
      <c r="NN4" s="82">
        <v>6978720705</v>
      </c>
      <c r="NO4" s="82">
        <v>8409773451</v>
      </c>
      <c r="NP4" s="82">
        <v>2849113880</v>
      </c>
      <c r="NQ4" s="82">
        <v>8901929192</v>
      </c>
      <c r="NR4" s="82">
        <v>8539135251</v>
      </c>
      <c r="NS4" s="82">
        <v>8829018125</v>
      </c>
      <c r="NW4" s="230" t="s">
        <v>6</v>
      </c>
      <c r="NX4" s="362">
        <f>SUM(S4:AW4)</f>
        <v>154157676741</v>
      </c>
      <c r="NY4" s="362">
        <f>SUM(AX4:BY4)</f>
        <v>173596984879</v>
      </c>
      <c r="NZ4" s="362">
        <f>SUM(BZ4:DD4)</f>
        <v>213619803644</v>
      </c>
      <c r="OA4" s="362">
        <f>SUM(DE4:EH4)</f>
        <v>192385597636</v>
      </c>
      <c r="OB4" s="362">
        <f>SUM(EI4:FM4)</f>
        <v>204650015967</v>
      </c>
      <c r="OC4" s="362">
        <f>SUM(FN4:GQ4)</f>
        <v>201739115263</v>
      </c>
      <c r="OD4" s="362">
        <f>SUM(GR4:HV4)</f>
        <v>221880214355</v>
      </c>
      <c r="OE4" s="362">
        <f>SUM(HW4:JA4)</f>
        <v>210359474445</v>
      </c>
      <c r="OF4" s="362">
        <f>SUM(JB4:KE4)</f>
        <v>210535471409</v>
      </c>
      <c r="OG4" s="362">
        <f>SUM(KF4:LJ4)</f>
        <v>238740614465</v>
      </c>
      <c r="OH4" s="362">
        <f>SUM(LK4:MN4)</f>
        <v>219783320450</v>
      </c>
      <c r="OI4" s="362">
        <f>SUM(MO4:NS4)</f>
        <v>233011113141</v>
      </c>
      <c r="OJ4" s="362">
        <f>SUM(NX4:OI4)</f>
        <v>2474459402395</v>
      </c>
      <c r="OK4" s="362">
        <f>NX4+NY4+NZ4</f>
        <v>541374465264</v>
      </c>
      <c r="OL4" s="362">
        <f>OA4+OB4+OC4</f>
        <v>598774728866</v>
      </c>
      <c r="OM4" s="362">
        <f>OD4+OE4+OF4</f>
        <v>642775160209</v>
      </c>
      <c r="ON4" s="362">
        <f>OG4+OH4+OI4</f>
        <v>691535048056</v>
      </c>
      <c r="OO4" s="187"/>
      <c r="OP4" s="82">
        <v>1854671422</v>
      </c>
      <c r="OQ4" s="82">
        <v>7405821310</v>
      </c>
      <c r="OR4" s="82">
        <v>6174701784</v>
      </c>
      <c r="OS4" s="187">
        <v>2271161796</v>
      </c>
      <c r="OT4" s="187">
        <v>8799817474</v>
      </c>
      <c r="OU4" s="187">
        <v>8093886298</v>
      </c>
      <c r="OV4" s="187">
        <v>8302035505</v>
      </c>
      <c r="OW4" s="187">
        <v>6808303550</v>
      </c>
      <c r="OX4" s="187">
        <v>7621714082</v>
      </c>
      <c r="OY4" s="187">
        <v>8976842505</v>
      </c>
      <c r="OZ4" s="187">
        <v>2862800002</v>
      </c>
      <c r="PA4" s="187">
        <v>8442736718</v>
      </c>
      <c r="PB4" s="187">
        <v>8185641401</v>
      </c>
      <c r="PC4">
        <v>7431454830</v>
      </c>
      <c r="PD4">
        <v>7210662770</v>
      </c>
      <c r="PE4">
        <v>7738193627</v>
      </c>
      <c r="PF4">
        <v>8026203367</v>
      </c>
      <c r="PG4">
        <v>2434982855</v>
      </c>
      <c r="PH4">
        <v>5494174111</v>
      </c>
    </row>
    <row r="5" spans="2:770">
      <c r="B5" s="469" t="s">
        <v>38</v>
      </c>
      <c r="C5" s="374" t="s">
        <v>39</v>
      </c>
      <c r="D5" s="188">
        <f>P23</f>
        <v>445</v>
      </c>
      <c r="E5" s="188">
        <f>P19</f>
        <v>0</v>
      </c>
      <c r="F5" s="188">
        <f>P31</f>
        <v>330</v>
      </c>
      <c r="G5" s="188">
        <f>P27</f>
        <v>0</v>
      </c>
      <c r="H5" s="188">
        <f>P39</f>
        <v>0</v>
      </c>
      <c r="I5" s="188">
        <f>P35</f>
        <v>0</v>
      </c>
      <c r="J5" s="376">
        <f>SUM(D5:I5)</f>
        <v>775</v>
      </c>
      <c r="L5" s="199">
        <f>M5/N5</f>
        <v>0.45615863675730928</v>
      </c>
      <c r="M5" s="235">
        <f>E4/10^3</f>
        <v>0.90419000000000005</v>
      </c>
      <c r="N5" s="234">
        <f>SUM(OP5:PT5)/10^9</f>
        <v>1.98218323</v>
      </c>
      <c r="O5" s="227">
        <f ca="1">(Q5*1000-N5)/(31-DAY(TODAY()))</f>
        <v>783.82615656526434</v>
      </c>
      <c r="P5" s="230" t="s">
        <v>6</v>
      </c>
      <c r="Q5" s="190">
        <v>8.6240699054479091</v>
      </c>
      <c r="R5" s="259">
        <f t="shared" ref="R5:R10" si="10">N5/Q5</f>
        <v>0.22984313111235746</v>
      </c>
      <c r="S5" s="83">
        <v>25670</v>
      </c>
      <c r="T5" s="83">
        <v>206074549</v>
      </c>
      <c r="U5" s="83">
        <v>306438387</v>
      </c>
      <c r="V5" s="83">
        <v>189925693</v>
      </c>
      <c r="W5" s="83">
        <v>24967</v>
      </c>
      <c r="X5" s="83">
        <v>129275096</v>
      </c>
      <c r="Y5" s="83">
        <v>180152637</v>
      </c>
      <c r="Z5" s="83">
        <v>125659225</v>
      </c>
      <c r="AA5" s="83">
        <v>139163969</v>
      </c>
      <c r="AB5" s="83">
        <v>228949097</v>
      </c>
      <c r="AC5" s="83">
        <v>198545359</v>
      </c>
      <c r="AD5" s="87">
        <v>24983</v>
      </c>
      <c r="AE5" s="83">
        <v>110317174</v>
      </c>
      <c r="AF5" s="83">
        <v>131456877</v>
      </c>
      <c r="AG5" s="83">
        <v>177160210</v>
      </c>
      <c r="AH5" s="83">
        <v>137161634</v>
      </c>
      <c r="AI5" s="83">
        <v>185620837</v>
      </c>
      <c r="AJ5" s="83">
        <v>160995991</v>
      </c>
      <c r="AK5" s="83">
        <v>25438</v>
      </c>
      <c r="AL5" s="87">
        <v>132300012</v>
      </c>
      <c r="AM5" s="83">
        <v>176032945</v>
      </c>
      <c r="AN5" s="83">
        <v>162308941</v>
      </c>
      <c r="AO5" s="83">
        <v>99483108</v>
      </c>
      <c r="AP5" s="83">
        <v>100155099</v>
      </c>
      <c r="AQ5" s="83">
        <v>88744503</v>
      </c>
      <c r="AR5" s="83">
        <v>25778</v>
      </c>
      <c r="AS5" s="83">
        <v>25778</v>
      </c>
      <c r="AT5" s="83">
        <v>25778</v>
      </c>
      <c r="AU5" s="83">
        <v>25778</v>
      </c>
      <c r="AV5" s="83">
        <v>25778</v>
      </c>
      <c r="AW5" s="87">
        <v>25778</v>
      </c>
      <c r="AX5" s="83">
        <v>25778</v>
      </c>
      <c r="AY5" s="83">
        <v>25778</v>
      </c>
      <c r="AZ5" s="83">
        <v>183857311</v>
      </c>
      <c r="BA5" s="83">
        <v>110012928</v>
      </c>
      <c r="BB5" s="83">
        <v>127799652</v>
      </c>
      <c r="BC5" s="83">
        <v>260073345</v>
      </c>
      <c r="BD5" s="83">
        <v>162270922</v>
      </c>
      <c r="BE5" s="83">
        <v>240583896</v>
      </c>
      <c r="BF5" s="83">
        <v>26851</v>
      </c>
      <c r="BG5" s="83">
        <v>188151094</v>
      </c>
      <c r="BH5" s="83">
        <v>262283218</v>
      </c>
      <c r="BI5" s="83">
        <v>236305920</v>
      </c>
      <c r="BJ5" s="83">
        <v>206728895</v>
      </c>
      <c r="BK5" s="83">
        <v>311807851</v>
      </c>
      <c r="BL5" s="83">
        <v>221176152</v>
      </c>
      <c r="BM5" s="83">
        <v>26162</v>
      </c>
      <c r="BN5" s="83">
        <v>329756600</v>
      </c>
      <c r="BO5" s="83">
        <v>354755150</v>
      </c>
      <c r="BP5" s="83">
        <v>302007866</v>
      </c>
      <c r="BQ5" s="83">
        <v>179858932</v>
      </c>
      <c r="BR5" s="83">
        <v>193747129</v>
      </c>
      <c r="BS5" s="83">
        <v>169773478</v>
      </c>
      <c r="BT5" s="83">
        <v>27389</v>
      </c>
      <c r="BU5" s="83">
        <v>297962803</v>
      </c>
      <c r="BV5" s="83">
        <v>199274038</v>
      </c>
      <c r="BW5" s="83">
        <v>167839444</v>
      </c>
      <c r="BX5" s="83">
        <v>191358435</v>
      </c>
      <c r="BY5" s="83">
        <v>116924103</v>
      </c>
      <c r="BZ5" s="83">
        <v>105238296</v>
      </c>
      <c r="CA5" s="83">
        <v>28296</v>
      </c>
      <c r="CB5" s="83">
        <v>204394394</v>
      </c>
      <c r="CC5" s="83">
        <v>279543188</v>
      </c>
      <c r="CD5" s="83">
        <v>304877236</v>
      </c>
      <c r="CE5" s="83">
        <v>183842341</v>
      </c>
      <c r="CF5" s="83">
        <v>180691490</v>
      </c>
      <c r="CG5" s="83">
        <v>179486158</v>
      </c>
      <c r="CH5" s="83">
        <v>27260</v>
      </c>
      <c r="CI5" s="83">
        <v>235627117</v>
      </c>
      <c r="CJ5" s="83">
        <v>270079987</v>
      </c>
      <c r="CK5" s="87">
        <v>167829044</v>
      </c>
      <c r="CL5" s="83">
        <v>132824258</v>
      </c>
      <c r="CM5" s="83">
        <v>197043656</v>
      </c>
      <c r="CN5" s="83">
        <v>215543611</v>
      </c>
      <c r="CO5" s="83">
        <v>8396</v>
      </c>
      <c r="CP5" s="83">
        <v>172707629</v>
      </c>
      <c r="CQ5" s="83">
        <v>168856886</v>
      </c>
      <c r="CR5" s="83">
        <v>247428914</v>
      </c>
      <c r="CS5" s="87">
        <v>230536466</v>
      </c>
      <c r="CT5" s="83">
        <v>235447462</v>
      </c>
      <c r="CU5" s="83">
        <v>247836226</v>
      </c>
      <c r="CV5" s="83">
        <v>9544</v>
      </c>
      <c r="CW5" s="83">
        <v>162651841</v>
      </c>
      <c r="CX5" s="83">
        <v>247248126</v>
      </c>
      <c r="CY5" s="83">
        <v>202838310</v>
      </c>
      <c r="CZ5" s="83">
        <v>170493318</v>
      </c>
      <c r="DA5" s="83">
        <v>193546141</v>
      </c>
      <c r="DB5" s="83">
        <v>243060523</v>
      </c>
      <c r="DC5" s="83">
        <v>10528</v>
      </c>
      <c r="DD5" s="87">
        <v>267228369</v>
      </c>
      <c r="DE5" s="83">
        <v>297768932</v>
      </c>
      <c r="DF5" s="83">
        <v>81682595</v>
      </c>
      <c r="DG5" s="83">
        <v>179380158</v>
      </c>
      <c r="DH5" s="83">
        <v>174598707</v>
      </c>
      <c r="DI5" s="83">
        <v>187555373</v>
      </c>
      <c r="DJ5" s="83">
        <v>4211</v>
      </c>
      <c r="DK5" s="83">
        <v>4211</v>
      </c>
      <c r="DL5" s="83">
        <v>259347476</v>
      </c>
      <c r="DM5" s="83">
        <v>260943795</v>
      </c>
      <c r="DN5" s="83">
        <v>285186172</v>
      </c>
      <c r="DO5" s="83">
        <v>157710498</v>
      </c>
      <c r="DP5" s="83">
        <v>177230426</v>
      </c>
      <c r="DQ5" s="83">
        <v>5304</v>
      </c>
      <c r="DR5" s="83">
        <v>238495904</v>
      </c>
      <c r="DS5" s="83">
        <v>256427129</v>
      </c>
      <c r="DT5" s="83">
        <v>125418053</v>
      </c>
      <c r="DU5" s="83">
        <v>165022477</v>
      </c>
      <c r="DV5" s="83">
        <v>208089714</v>
      </c>
      <c r="DW5" s="83">
        <v>239933837</v>
      </c>
      <c r="DX5" s="137">
        <v>0</v>
      </c>
      <c r="DY5" s="83">
        <v>100955322</v>
      </c>
      <c r="DZ5" s="83">
        <v>203774521</v>
      </c>
      <c r="EA5" s="83">
        <v>198618466</v>
      </c>
      <c r="EB5" s="83">
        <v>143818624</v>
      </c>
      <c r="EC5" s="83">
        <v>144372022</v>
      </c>
      <c r="ED5" s="83">
        <v>106580247</v>
      </c>
      <c r="EE5" s="137">
        <v>0</v>
      </c>
      <c r="EF5" s="83">
        <v>223141853</v>
      </c>
      <c r="EG5" s="83">
        <v>103681681</v>
      </c>
      <c r="EH5" s="137">
        <v>0</v>
      </c>
      <c r="EI5" s="137">
        <v>0</v>
      </c>
      <c r="EJ5" s="83">
        <v>176527166</v>
      </c>
      <c r="EK5" s="83">
        <v>110585470</v>
      </c>
      <c r="EL5" s="137">
        <v>0</v>
      </c>
      <c r="EM5" s="83">
        <v>266661881</v>
      </c>
      <c r="EN5" s="83">
        <v>247777027</v>
      </c>
      <c r="EO5" s="83">
        <v>215467465</v>
      </c>
      <c r="EP5" s="83">
        <v>237158166</v>
      </c>
      <c r="EQ5" s="83">
        <v>196160428</v>
      </c>
      <c r="ER5" s="83">
        <v>117304543</v>
      </c>
      <c r="ES5" s="137">
        <v>0</v>
      </c>
      <c r="ET5" s="83">
        <v>173759814</v>
      </c>
      <c r="EU5" s="83">
        <v>167824360</v>
      </c>
      <c r="EV5" s="83">
        <v>115228410</v>
      </c>
      <c r="EW5" s="83">
        <v>221742117</v>
      </c>
      <c r="EX5" s="83">
        <v>105219111</v>
      </c>
      <c r="EY5" s="83">
        <v>156641630</v>
      </c>
      <c r="EZ5" s="83">
        <v>7422</v>
      </c>
      <c r="FA5" s="83">
        <v>219447192</v>
      </c>
      <c r="FB5" s="83">
        <v>181431908</v>
      </c>
      <c r="FC5" s="83">
        <v>142505967</v>
      </c>
      <c r="FD5" s="83">
        <v>120052640</v>
      </c>
      <c r="FE5" s="83">
        <v>138459102</v>
      </c>
      <c r="FF5" s="83">
        <v>138102103</v>
      </c>
      <c r="FG5" s="83">
        <v>8215</v>
      </c>
      <c r="FH5" s="83">
        <v>197209072</v>
      </c>
      <c r="FI5" s="83">
        <v>149298879</v>
      </c>
      <c r="FJ5" s="83">
        <v>85808668</v>
      </c>
      <c r="FK5" s="83">
        <v>155645719</v>
      </c>
      <c r="FL5" s="187">
        <v>120770881</v>
      </c>
      <c r="FM5" s="187">
        <v>87179219</v>
      </c>
      <c r="FN5" s="137">
        <v>0</v>
      </c>
      <c r="FO5" s="83">
        <v>203659609</v>
      </c>
      <c r="FP5" s="83">
        <v>215978994</v>
      </c>
      <c r="FQ5" s="83">
        <v>177550447</v>
      </c>
      <c r="FR5" s="83">
        <v>154512079</v>
      </c>
      <c r="FS5" s="83">
        <v>136073166</v>
      </c>
      <c r="FT5" s="83">
        <v>270860005</v>
      </c>
      <c r="FU5" s="137">
        <v>0</v>
      </c>
      <c r="FV5" s="83">
        <v>167166353</v>
      </c>
      <c r="FW5" s="83">
        <v>248376586</v>
      </c>
      <c r="FX5" s="83">
        <v>118517431</v>
      </c>
      <c r="FY5" s="83">
        <v>159506824</v>
      </c>
      <c r="FZ5" s="83">
        <v>185462826</v>
      </c>
      <c r="GA5" s="83">
        <v>202796572</v>
      </c>
      <c r="GB5" s="137">
        <v>0</v>
      </c>
      <c r="GC5" s="83">
        <v>149108242</v>
      </c>
      <c r="GD5" s="83">
        <v>237967946</v>
      </c>
      <c r="GE5" s="83">
        <v>115678666</v>
      </c>
      <c r="GF5" s="83">
        <v>187178748</v>
      </c>
      <c r="GG5" s="83">
        <v>228264579</v>
      </c>
      <c r="GH5" s="83">
        <v>143177430</v>
      </c>
      <c r="GI5" s="137">
        <v>0</v>
      </c>
      <c r="GJ5" s="187">
        <v>199801156</v>
      </c>
      <c r="GK5" s="187">
        <v>188762368</v>
      </c>
      <c r="GL5" s="187">
        <v>222799544</v>
      </c>
      <c r="GM5" s="187">
        <v>147527017</v>
      </c>
      <c r="GN5" s="187">
        <v>149995271</v>
      </c>
      <c r="GO5" s="187">
        <v>185660206</v>
      </c>
      <c r="GP5" s="187">
        <v>0</v>
      </c>
      <c r="GQ5" s="187">
        <v>99617749</v>
      </c>
      <c r="GR5" s="83">
        <v>225618510</v>
      </c>
      <c r="GS5" s="83">
        <v>104650380</v>
      </c>
      <c r="GT5" s="83">
        <v>167075997</v>
      </c>
      <c r="GU5" s="83">
        <v>145172688</v>
      </c>
      <c r="GV5" s="83">
        <v>186948372</v>
      </c>
      <c r="GW5" s="137">
        <v>0</v>
      </c>
      <c r="GX5" s="83">
        <v>259925151</v>
      </c>
      <c r="GY5" s="83">
        <v>241652412</v>
      </c>
      <c r="GZ5" s="83">
        <v>281772530</v>
      </c>
      <c r="HA5" s="83">
        <v>225133017</v>
      </c>
      <c r="HB5" s="83">
        <v>276088566</v>
      </c>
      <c r="HC5" s="83">
        <v>105869306</v>
      </c>
      <c r="HD5" s="137">
        <v>0</v>
      </c>
      <c r="HE5" s="83">
        <v>217164398</v>
      </c>
      <c r="HF5" s="83">
        <v>333535447</v>
      </c>
      <c r="HG5" s="83">
        <v>143936837</v>
      </c>
      <c r="HH5" s="83">
        <v>206057936</v>
      </c>
      <c r="HI5" s="83">
        <v>151950671</v>
      </c>
      <c r="HJ5" s="83">
        <v>157424883</v>
      </c>
      <c r="HK5" s="137">
        <v>0</v>
      </c>
      <c r="HL5" s="83">
        <v>255679037</v>
      </c>
      <c r="HM5" s="83">
        <v>250131839</v>
      </c>
      <c r="HN5" s="83">
        <v>215704617</v>
      </c>
      <c r="HO5" s="83">
        <v>211903562</v>
      </c>
      <c r="HP5" s="83">
        <v>230739812</v>
      </c>
      <c r="HQ5" s="83">
        <v>127357739</v>
      </c>
      <c r="HR5" s="137">
        <v>0</v>
      </c>
      <c r="HS5" s="83">
        <v>215939932</v>
      </c>
      <c r="HT5" s="83">
        <v>196057844</v>
      </c>
      <c r="HU5" s="83">
        <v>253201266</v>
      </c>
      <c r="HV5" s="187">
        <v>197450261</v>
      </c>
      <c r="HW5" s="83">
        <v>197340081</v>
      </c>
      <c r="HX5" s="187">
        <v>206753420</v>
      </c>
      <c r="HY5" s="83">
        <v>0</v>
      </c>
      <c r="HZ5" s="187">
        <v>192502272</v>
      </c>
      <c r="IA5" s="83">
        <v>281009721</v>
      </c>
      <c r="IB5" s="187">
        <v>195900666</v>
      </c>
      <c r="IC5" s="83">
        <v>193253111</v>
      </c>
      <c r="ID5" s="187">
        <v>200495293</v>
      </c>
      <c r="IE5" s="83">
        <v>89491240</v>
      </c>
      <c r="IF5" s="187">
        <v>0</v>
      </c>
      <c r="IG5" s="83">
        <v>165395556</v>
      </c>
      <c r="IH5" s="187">
        <v>212676273</v>
      </c>
      <c r="II5" s="83">
        <v>169738938</v>
      </c>
      <c r="IJ5" s="187">
        <v>149726669</v>
      </c>
      <c r="IK5" s="83">
        <v>128178234</v>
      </c>
      <c r="IL5" s="187">
        <v>201709499</v>
      </c>
      <c r="IM5" s="83">
        <v>0</v>
      </c>
      <c r="IN5" s="187">
        <v>214434132</v>
      </c>
      <c r="IO5" s="83">
        <v>136286551</v>
      </c>
      <c r="IP5" s="187">
        <v>180820386</v>
      </c>
      <c r="IQ5" s="83">
        <v>151602684</v>
      </c>
      <c r="IR5" s="187">
        <v>199698742</v>
      </c>
      <c r="IS5" s="83">
        <v>98421949</v>
      </c>
      <c r="IT5" s="187">
        <v>0</v>
      </c>
      <c r="IU5" s="83">
        <v>231614046</v>
      </c>
      <c r="IV5" s="187">
        <v>123610711</v>
      </c>
      <c r="IW5" s="83">
        <v>129527474</v>
      </c>
      <c r="IX5" s="187">
        <v>209026167</v>
      </c>
      <c r="IY5" s="83">
        <v>134752576</v>
      </c>
      <c r="IZ5" s="187">
        <v>149333530</v>
      </c>
      <c r="JA5" s="83">
        <v>0</v>
      </c>
      <c r="JB5" s="187">
        <v>7183802</v>
      </c>
      <c r="JC5" s="83">
        <v>0</v>
      </c>
      <c r="JD5" s="187">
        <v>276763223</v>
      </c>
      <c r="JE5" s="83">
        <v>278101050</v>
      </c>
      <c r="JF5" s="187">
        <v>175066589</v>
      </c>
      <c r="JG5" s="83">
        <v>133221165</v>
      </c>
      <c r="JH5" s="187">
        <v>0</v>
      </c>
      <c r="JI5" s="83">
        <v>184651852</v>
      </c>
      <c r="JJ5" s="187">
        <v>188568544</v>
      </c>
      <c r="JK5" s="83">
        <v>159840421</v>
      </c>
      <c r="JL5" s="187">
        <v>165435263</v>
      </c>
      <c r="JM5" s="83">
        <v>161463678</v>
      </c>
      <c r="JN5" s="187">
        <v>228311376</v>
      </c>
      <c r="JO5" s="83">
        <v>0</v>
      </c>
      <c r="JP5" s="187">
        <v>220320775</v>
      </c>
      <c r="JQ5" s="83">
        <v>195861376</v>
      </c>
      <c r="JR5" s="187">
        <v>163667804</v>
      </c>
      <c r="JS5" s="83">
        <v>97349823</v>
      </c>
      <c r="JT5" s="187">
        <v>146768916</v>
      </c>
      <c r="JU5" s="83">
        <v>99989840</v>
      </c>
      <c r="JV5" s="187">
        <v>0</v>
      </c>
      <c r="JW5" s="83">
        <v>185883086</v>
      </c>
      <c r="JX5" s="187">
        <v>158824147</v>
      </c>
      <c r="JY5" s="83">
        <v>102783809</v>
      </c>
      <c r="JZ5" s="187">
        <v>193835329</v>
      </c>
      <c r="KA5" s="83">
        <v>83207612</v>
      </c>
      <c r="KB5" s="187">
        <v>148754215</v>
      </c>
      <c r="KC5" s="83">
        <v>5465</v>
      </c>
      <c r="KD5" s="187">
        <v>163968483</v>
      </c>
      <c r="KE5" s="83">
        <v>167495675</v>
      </c>
      <c r="KF5" s="83">
        <v>102014594</v>
      </c>
      <c r="KG5" s="83">
        <v>127159575</v>
      </c>
      <c r="KH5" s="83">
        <v>144164739</v>
      </c>
      <c r="KI5" s="83">
        <v>127238315</v>
      </c>
      <c r="KJ5" s="83">
        <v>6065</v>
      </c>
      <c r="KK5" s="83">
        <v>240315378</v>
      </c>
      <c r="KL5" s="83">
        <v>210008248</v>
      </c>
      <c r="KM5" s="83">
        <v>69264267</v>
      </c>
      <c r="KN5" s="83">
        <v>145126521</v>
      </c>
      <c r="KO5" s="83">
        <v>125207862</v>
      </c>
      <c r="KP5" s="83">
        <v>115322468</v>
      </c>
      <c r="KQ5" s="83">
        <v>4492</v>
      </c>
      <c r="KR5" s="83">
        <v>194971076</v>
      </c>
      <c r="KS5" s="83">
        <v>196825271</v>
      </c>
      <c r="KT5" s="83">
        <v>118266775</v>
      </c>
      <c r="KU5" s="83">
        <v>174312837</v>
      </c>
      <c r="KV5" s="83">
        <v>192027816</v>
      </c>
      <c r="KW5" s="83">
        <v>124119886</v>
      </c>
      <c r="KX5" s="83">
        <v>5306</v>
      </c>
      <c r="KY5" s="83">
        <v>99142335</v>
      </c>
      <c r="KZ5" s="83">
        <v>233616357</v>
      </c>
      <c r="LA5" s="83">
        <v>135861722</v>
      </c>
      <c r="LB5" s="83">
        <v>115127741</v>
      </c>
      <c r="LC5" s="83">
        <v>129095108</v>
      </c>
      <c r="LD5" s="83">
        <v>176597868</v>
      </c>
      <c r="LE5" s="83">
        <v>6163</v>
      </c>
      <c r="LF5" s="83">
        <v>174439258</v>
      </c>
      <c r="LG5" s="83">
        <v>63853767</v>
      </c>
      <c r="LH5" s="83">
        <v>93439003</v>
      </c>
      <c r="LI5" s="83">
        <v>118916913</v>
      </c>
      <c r="LJ5" s="83">
        <v>118854496</v>
      </c>
      <c r="LK5" s="83">
        <v>86620721</v>
      </c>
      <c r="LL5" s="83">
        <v>6719</v>
      </c>
      <c r="LM5" s="83">
        <v>120129211</v>
      </c>
      <c r="LN5" s="83">
        <v>169520127</v>
      </c>
      <c r="LO5" s="83">
        <v>188379182</v>
      </c>
      <c r="LP5" s="83">
        <v>83479389</v>
      </c>
      <c r="LQ5" s="83">
        <v>75593930</v>
      </c>
      <c r="LR5" s="83">
        <v>104995483</v>
      </c>
      <c r="LS5" s="83">
        <v>5023</v>
      </c>
      <c r="LT5" s="83">
        <v>144427881</v>
      </c>
      <c r="LU5" s="83">
        <v>137567940</v>
      </c>
      <c r="LV5" s="83">
        <v>67679597</v>
      </c>
      <c r="LW5" s="83">
        <v>158242347</v>
      </c>
      <c r="LX5" s="83">
        <v>103489939</v>
      </c>
      <c r="LY5" s="83">
        <v>164421548</v>
      </c>
      <c r="LZ5" s="83">
        <v>5548</v>
      </c>
      <c r="MA5" s="83">
        <v>248739951</v>
      </c>
      <c r="MB5" s="83">
        <v>100792945</v>
      </c>
      <c r="MC5" s="83">
        <v>73638451</v>
      </c>
      <c r="MD5" s="83">
        <v>141237644</v>
      </c>
      <c r="ME5" s="83">
        <v>78618186</v>
      </c>
      <c r="MF5" s="83">
        <v>56877447</v>
      </c>
      <c r="MG5" s="83">
        <v>6197</v>
      </c>
      <c r="MH5" s="83">
        <v>120644363</v>
      </c>
      <c r="MI5" s="83">
        <v>107731574</v>
      </c>
      <c r="MJ5" s="83">
        <v>115606598</v>
      </c>
      <c r="MK5" s="83">
        <v>96919835</v>
      </c>
      <c r="ML5" s="83">
        <v>79630676</v>
      </c>
      <c r="MM5" s="83">
        <v>59731191</v>
      </c>
      <c r="MN5" s="83">
        <v>6768</v>
      </c>
      <c r="MO5" s="83">
        <v>262132784</v>
      </c>
      <c r="MP5" s="83">
        <v>208863860</v>
      </c>
      <c r="MQ5" s="83">
        <v>161706200</v>
      </c>
      <c r="MR5" s="83">
        <v>206220382</v>
      </c>
      <c r="MS5" s="83">
        <v>121857653</v>
      </c>
      <c r="MT5" s="83">
        <v>93144039</v>
      </c>
      <c r="MU5" s="83">
        <v>0</v>
      </c>
      <c r="MV5" s="83">
        <v>158310261</v>
      </c>
      <c r="MW5" s="83">
        <v>118937700</v>
      </c>
      <c r="MX5" s="83">
        <v>146597109</v>
      </c>
      <c r="MY5" s="83">
        <v>113946282</v>
      </c>
      <c r="MZ5" s="83">
        <v>179255618</v>
      </c>
      <c r="NA5" s="83">
        <v>146339600</v>
      </c>
      <c r="NB5" s="83">
        <v>0</v>
      </c>
      <c r="NC5" s="83">
        <v>193072933</v>
      </c>
      <c r="ND5" s="83">
        <v>201266055</v>
      </c>
      <c r="NE5" s="83">
        <v>166086446</v>
      </c>
      <c r="NF5" s="83">
        <v>174838058</v>
      </c>
      <c r="NG5" s="83">
        <v>242024970</v>
      </c>
      <c r="NH5" s="83">
        <v>235371496</v>
      </c>
      <c r="NI5" s="83">
        <v>125201829</v>
      </c>
      <c r="NJ5" s="83">
        <v>336021288</v>
      </c>
      <c r="NK5" s="83">
        <v>134524250</v>
      </c>
      <c r="NL5" s="83">
        <v>111051892</v>
      </c>
      <c r="NM5" s="83">
        <v>89555941</v>
      </c>
      <c r="NN5" s="83">
        <v>36254683</v>
      </c>
      <c r="NO5" s="83">
        <v>72414861</v>
      </c>
      <c r="NP5" s="83">
        <v>7081</v>
      </c>
      <c r="NQ5" s="83">
        <v>184578711</v>
      </c>
      <c r="NR5" s="83">
        <v>217812105</v>
      </c>
      <c r="NS5" s="83">
        <v>88182369</v>
      </c>
      <c r="NW5" s="230" t="s">
        <v>5</v>
      </c>
      <c r="NX5" s="187">
        <f t="shared" ref="NX5:NX10" si="11">SUM(S5:AW5)</f>
        <v>3366177069</v>
      </c>
      <c r="NY5" s="187">
        <f t="shared" ref="NY5:NY10" si="12">SUM(AX5:BY5)</f>
        <v>5014441120</v>
      </c>
      <c r="NZ5" s="187">
        <f t="shared" ref="NZ5:NZ10" si="13">SUM(BZ5:DD5)</f>
        <v>5446985011</v>
      </c>
      <c r="OA5" s="187">
        <f t="shared" ref="OA5:OA10" si="14">SUM(DE5:EH5)</f>
        <v>4519747708</v>
      </c>
      <c r="OB5" s="187">
        <f t="shared" ref="OB5:OB10" si="15">SUM(EI5:FM5)</f>
        <v>4243984575</v>
      </c>
      <c r="OC5" s="187">
        <f t="shared" ref="OC5:OC10" si="16">SUM(FN5:GQ5)</f>
        <v>4495999814</v>
      </c>
      <c r="OD5" s="187">
        <f t="shared" ref="OD5:OD10" si="17">SUM(GR5:HV5)</f>
        <v>5584143010</v>
      </c>
      <c r="OE5" s="187">
        <f t="shared" ref="OE5:OE10" si="18">SUM(HW5:JA5)</f>
        <v>4543299921</v>
      </c>
      <c r="OF5" s="187">
        <f t="shared" ref="OF5:OF10" si="19">SUM(JB5:KE5)</f>
        <v>4087323318</v>
      </c>
      <c r="OG5" s="187">
        <f t="shared" ref="OG5:OH10" si="20">SUM(KF5:LJ5)</f>
        <v>3865312222</v>
      </c>
      <c r="OH5" s="187">
        <f t="shared" ref="OH5:OH10" si="21">SUM(LK5:MN5)</f>
        <v>2884746411</v>
      </c>
      <c r="OI5" s="187">
        <f t="shared" ref="OI5:OI10" si="22">SUM(MO5:NS5)</f>
        <v>4525576456</v>
      </c>
      <c r="OJ5" s="187">
        <f t="shared" ref="OJ5:OJ10" si="23">SUM(NX5:OI5)</f>
        <v>52577736635</v>
      </c>
      <c r="OK5" s="187">
        <f t="shared" ref="OK5:OK10" si="24">NX5+NY5+NZ5</f>
        <v>13827603200</v>
      </c>
      <c r="OL5" s="187">
        <f t="shared" ref="OL5:OL10" si="25">OA5+OB5+OC5</f>
        <v>13259732097</v>
      </c>
      <c r="OM5" s="187">
        <f t="shared" ref="OM5:OM10" si="26">OD5+OE5+OF5</f>
        <v>14214766249</v>
      </c>
      <c r="ON5" s="187">
        <f t="shared" ref="ON5:ON10" si="27">OG5+OH5+OI5</f>
        <v>11275635089</v>
      </c>
      <c r="OO5" s="187"/>
      <c r="OP5" s="83"/>
      <c r="OQ5" s="83">
        <v>101203131</v>
      </c>
      <c r="OR5" s="83">
        <v>69355503</v>
      </c>
      <c r="OS5" s="187"/>
      <c r="OT5" s="187">
        <v>121336101</v>
      </c>
      <c r="OU5" s="187">
        <v>195093750</v>
      </c>
      <c r="OV5" s="187">
        <v>169221986</v>
      </c>
      <c r="OW5" s="187">
        <v>122004718</v>
      </c>
      <c r="OX5" s="187">
        <v>75668487</v>
      </c>
      <c r="OY5" s="187">
        <v>179826451</v>
      </c>
      <c r="OZ5" s="187"/>
      <c r="PA5" s="187">
        <v>121769517</v>
      </c>
      <c r="PB5" s="187">
        <v>231254163</v>
      </c>
      <c r="PC5">
        <v>105998750</v>
      </c>
      <c r="PD5">
        <v>137006701</v>
      </c>
      <c r="PE5">
        <v>109761391</v>
      </c>
      <c r="PF5">
        <v>122015067</v>
      </c>
      <c r="PH5">
        <v>120667514</v>
      </c>
    </row>
    <row r="6" spans="2:770">
      <c r="B6" s="469"/>
      <c r="C6" s="374" t="s">
        <v>40</v>
      </c>
      <c r="D6" s="188">
        <f t="shared" ref="D6" si="28">P24</f>
        <v>355</v>
      </c>
      <c r="E6" s="188">
        <f t="shared" ref="E6" si="29">P20</f>
        <v>19.12</v>
      </c>
      <c r="F6" s="188">
        <f>P32</f>
        <v>2921</v>
      </c>
      <c r="G6" s="188">
        <f t="shared" ref="G6" si="30">P28</f>
        <v>2712</v>
      </c>
      <c r="H6" s="188">
        <f t="shared" ref="H6" si="31">P40</f>
        <v>0</v>
      </c>
      <c r="I6" s="188">
        <f t="shared" ref="I6" si="32">P36</f>
        <v>0</v>
      </c>
      <c r="J6" s="376">
        <f>SUM(D6:I6)</f>
        <v>6007.12</v>
      </c>
      <c r="L6" s="199">
        <f t="shared" ref="L5:L10" si="33">M6/N6</f>
        <v>9.4218111572881277E-2</v>
      </c>
      <c r="M6" s="235">
        <f>D4/10^3</f>
        <v>2.27</v>
      </c>
      <c r="N6" s="234">
        <f t="shared" ref="N6:N10" si="34">SUM(OP6:PT6)/10^9</f>
        <v>24.093032243</v>
      </c>
      <c r="O6" s="228">
        <f t="shared" ref="O6:O10" ca="1" si="35">(Q6*1000-N6)/(31-DAY(TODAY()))</f>
        <v>4497.2233104975512</v>
      </c>
      <c r="P6" s="230" t="s">
        <v>5</v>
      </c>
      <c r="Q6" s="191">
        <v>49.493549447716063</v>
      </c>
      <c r="R6" s="259">
        <f t="shared" si="10"/>
        <v>0.48679135992158673</v>
      </c>
      <c r="S6" s="83">
        <v>440155304</v>
      </c>
      <c r="T6" s="83">
        <v>1206281973</v>
      </c>
      <c r="U6" s="83">
        <v>1043485963</v>
      </c>
      <c r="V6" s="83">
        <v>1001630757</v>
      </c>
      <c r="W6" s="83">
        <v>697723412</v>
      </c>
      <c r="X6" s="83">
        <v>1196738788</v>
      </c>
      <c r="Y6" s="83">
        <v>1149681295</v>
      </c>
      <c r="Z6" s="83">
        <v>1182113974</v>
      </c>
      <c r="AA6" s="83">
        <v>957963988</v>
      </c>
      <c r="AB6" s="83">
        <v>1151017728</v>
      </c>
      <c r="AC6" s="83">
        <v>1426044369</v>
      </c>
      <c r="AD6" s="87">
        <v>628375755</v>
      </c>
      <c r="AE6" s="83">
        <v>1069187650</v>
      </c>
      <c r="AF6" s="83">
        <v>848752603</v>
      </c>
      <c r="AG6" s="83">
        <v>955304429</v>
      </c>
      <c r="AH6" s="83">
        <v>893356419</v>
      </c>
      <c r="AI6" s="83">
        <v>974948862</v>
      </c>
      <c r="AJ6" s="83">
        <v>1056510244</v>
      </c>
      <c r="AK6" s="83">
        <v>686762178</v>
      </c>
      <c r="AL6" s="87">
        <v>1121322072</v>
      </c>
      <c r="AM6" s="83">
        <v>951589647</v>
      </c>
      <c r="AN6" s="83">
        <v>968811588</v>
      </c>
      <c r="AO6" s="83">
        <v>1011770446</v>
      </c>
      <c r="AP6" s="83">
        <v>897131205</v>
      </c>
      <c r="AQ6" s="83">
        <v>1188400000</v>
      </c>
      <c r="AR6" s="83">
        <v>600916939</v>
      </c>
      <c r="AS6" s="83">
        <v>839132533</v>
      </c>
      <c r="AT6" s="83">
        <v>584333466</v>
      </c>
      <c r="AU6" s="83">
        <v>119254004</v>
      </c>
      <c r="AV6" s="83">
        <v>273586919</v>
      </c>
      <c r="AW6" s="87">
        <v>413648485</v>
      </c>
      <c r="AX6" s="83">
        <v>373285978</v>
      </c>
      <c r="AY6" s="83">
        <v>122443489</v>
      </c>
      <c r="AZ6" s="83">
        <v>1141361332</v>
      </c>
      <c r="BA6" s="83">
        <v>911145795</v>
      </c>
      <c r="BB6" s="83">
        <v>950472634</v>
      </c>
      <c r="BC6" s="83">
        <v>881722675</v>
      </c>
      <c r="BD6" s="83">
        <v>1268922191</v>
      </c>
      <c r="BE6" s="83">
        <v>1339097915</v>
      </c>
      <c r="BF6" s="83">
        <v>485485780</v>
      </c>
      <c r="BG6" s="83">
        <v>1457435344</v>
      </c>
      <c r="BH6" s="83">
        <v>1036680647</v>
      </c>
      <c r="BI6" s="83">
        <v>1081299128</v>
      </c>
      <c r="BJ6" s="83">
        <v>1030091718</v>
      </c>
      <c r="BK6" s="83">
        <v>1178632419</v>
      </c>
      <c r="BL6" s="83">
        <v>1410775136</v>
      </c>
      <c r="BM6" s="83">
        <v>720173743</v>
      </c>
      <c r="BN6" s="83">
        <v>1618640911</v>
      </c>
      <c r="BO6" s="83">
        <v>1618852211</v>
      </c>
      <c r="BP6" s="83">
        <v>1234948279</v>
      </c>
      <c r="BQ6" s="83">
        <v>1341741604</v>
      </c>
      <c r="BR6" s="83">
        <v>1133112955</v>
      </c>
      <c r="BS6" s="83">
        <v>1704104231</v>
      </c>
      <c r="BT6" s="83">
        <v>630135552</v>
      </c>
      <c r="BU6" s="83">
        <v>1531082128</v>
      </c>
      <c r="BV6" s="83">
        <v>1327932414</v>
      </c>
      <c r="BW6" s="83">
        <v>1184552383</v>
      </c>
      <c r="BX6" s="83">
        <v>1022100152</v>
      </c>
      <c r="BY6" s="83">
        <v>998515712</v>
      </c>
      <c r="BZ6" s="83">
        <v>1436504471</v>
      </c>
      <c r="CA6" s="83">
        <v>755797032</v>
      </c>
      <c r="CB6" s="83">
        <v>1231121754</v>
      </c>
      <c r="CC6" s="83">
        <v>1476741974</v>
      </c>
      <c r="CD6" s="83">
        <v>1338380320</v>
      </c>
      <c r="CE6" s="83">
        <v>1199196130</v>
      </c>
      <c r="CF6" s="83">
        <v>1686428757</v>
      </c>
      <c r="CG6" s="83">
        <v>1456358832</v>
      </c>
      <c r="CH6" s="83">
        <v>660303688</v>
      </c>
      <c r="CI6" s="83">
        <v>1270889239</v>
      </c>
      <c r="CJ6" s="83">
        <v>1357778472</v>
      </c>
      <c r="CK6" s="87">
        <v>1444806114</v>
      </c>
      <c r="CL6" s="83">
        <v>1298658587</v>
      </c>
      <c r="CM6" s="83">
        <v>1168660162</v>
      </c>
      <c r="CN6" s="83">
        <v>1604169677</v>
      </c>
      <c r="CO6" s="83">
        <v>592185364</v>
      </c>
      <c r="CP6" s="83">
        <v>1305070327</v>
      </c>
      <c r="CQ6" s="83">
        <v>1145669451</v>
      </c>
      <c r="CR6" s="83">
        <v>1413578909</v>
      </c>
      <c r="CS6" s="87">
        <v>1068345149</v>
      </c>
      <c r="CT6" s="83">
        <v>1238613606</v>
      </c>
      <c r="CU6" s="83">
        <v>1544518796</v>
      </c>
      <c r="CV6" s="83">
        <v>811907515</v>
      </c>
      <c r="CW6" s="83">
        <v>1405615621</v>
      </c>
      <c r="CX6" s="83">
        <v>1165839987</v>
      </c>
      <c r="CY6" s="83">
        <v>1346241219</v>
      </c>
      <c r="CZ6" s="83">
        <v>1220908188</v>
      </c>
      <c r="DA6" s="83">
        <v>1555246444</v>
      </c>
      <c r="DB6" s="83">
        <v>1715150921</v>
      </c>
      <c r="DC6" s="83">
        <v>482092137</v>
      </c>
      <c r="DD6" s="87">
        <v>1572337568</v>
      </c>
      <c r="DE6" s="83">
        <v>1128222248</v>
      </c>
      <c r="DF6" s="83">
        <v>1336202654</v>
      </c>
      <c r="DG6" s="83">
        <v>1205323077</v>
      </c>
      <c r="DH6" s="83">
        <v>1202342348</v>
      </c>
      <c r="DI6" s="83">
        <v>1480693683</v>
      </c>
      <c r="DJ6" s="83">
        <v>729880343</v>
      </c>
      <c r="DK6" s="83">
        <v>478991516</v>
      </c>
      <c r="DL6" s="83">
        <v>1355109265</v>
      </c>
      <c r="DM6" s="83">
        <v>1330072490</v>
      </c>
      <c r="DN6" s="83">
        <v>1259611805</v>
      </c>
      <c r="DO6" s="83">
        <v>1234223951</v>
      </c>
      <c r="DP6" s="83">
        <v>1508827801</v>
      </c>
      <c r="DQ6" s="83">
        <v>604036668</v>
      </c>
      <c r="DR6" s="83">
        <v>1255702881</v>
      </c>
      <c r="DS6" s="83">
        <v>1030637967</v>
      </c>
      <c r="DT6" s="83">
        <v>1156402367</v>
      </c>
      <c r="DU6" s="83">
        <v>1358232748</v>
      </c>
      <c r="DV6" s="83">
        <v>1348296007</v>
      </c>
      <c r="DW6" s="83">
        <v>1712854533</v>
      </c>
      <c r="DX6" s="83">
        <v>642057198</v>
      </c>
      <c r="DY6" s="83">
        <v>1287285224</v>
      </c>
      <c r="DZ6" s="83">
        <v>1281781983</v>
      </c>
      <c r="EA6" s="83">
        <v>1000272381</v>
      </c>
      <c r="EB6" s="83">
        <v>1323309640</v>
      </c>
      <c r="EC6" s="83">
        <v>1230345012</v>
      </c>
      <c r="ED6" s="83">
        <v>1115938376</v>
      </c>
      <c r="EE6" s="83">
        <v>602454398</v>
      </c>
      <c r="EF6" s="83">
        <v>1171033447</v>
      </c>
      <c r="EG6" s="83">
        <v>1418067530</v>
      </c>
      <c r="EH6" s="83">
        <v>418432226</v>
      </c>
      <c r="EI6" s="83">
        <v>356844012</v>
      </c>
      <c r="EJ6" s="83">
        <v>1143322243</v>
      </c>
      <c r="EK6" s="83">
        <v>1118195109</v>
      </c>
      <c r="EL6" s="83">
        <v>936617012</v>
      </c>
      <c r="EM6" s="83">
        <v>1223340882</v>
      </c>
      <c r="EN6" s="83">
        <v>1261908943</v>
      </c>
      <c r="EO6" s="83">
        <v>1093158547</v>
      </c>
      <c r="EP6" s="83">
        <v>1003356014</v>
      </c>
      <c r="EQ6" s="83">
        <v>1769475018</v>
      </c>
      <c r="ER6" s="83">
        <v>1304028049</v>
      </c>
      <c r="ES6" s="83">
        <v>635112837</v>
      </c>
      <c r="ET6" s="83">
        <v>1276374844</v>
      </c>
      <c r="EU6" s="83">
        <v>1202224909</v>
      </c>
      <c r="EV6" s="83">
        <v>1292571660</v>
      </c>
      <c r="EW6" s="83">
        <v>1278571660</v>
      </c>
      <c r="EX6" s="83">
        <v>1407171660</v>
      </c>
      <c r="EY6" s="83">
        <v>1287300000</v>
      </c>
      <c r="EZ6" s="83">
        <v>482407442</v>
      </c>
      <c r="FA6" s="83">
        <v>1334405871</v>
      </c>
      <c r="FB6" s="83">
        <v>1347140075</v>
      </c>
      <c r="FC6" s="83">
        <v>1398348286</v>
      </c>
      <c r="FD6" s="83">
        <v>1008741654</v>
      </c>
      <c r="FE6" s="83">
        <v>1243206762</v>
      </c>
      <c r="FF6" s="83">
        <v>1440649661</v>
      </c>
      <c r="FG6" s="83">
        <v>574078635</v>
      </c>
      <c r="FH6" s="83">
        <v>1376475704</v>
      </c>
      <c r="FI6" s="83">
        <v>1294168734</v>
      </c>
      <c r="FJ6" s="83">
        <v>1214902363</v>
      </c>
      <c r="FK6" s="83">
        <v>1312771660</v>
      </c>
      <c r="FL6" s="187">
        <v>1162571660</v>
      </c>
      <c r="FM6" s="187">
        <v>1277000000</v>
      </c>
      <c r="FN6" s="83">
        <v>721000000</v>
      </c>
      <c r="FO6" s="83">
        <v>1000715637</v>
      </c>
      <c r="FP6" s="83">
        <v>992012833</v>
      </c>
      <c r="FQ6" s="83">
        <v>1470803404</v>
      </c>
      <c r="FR6" s="83">
        <v>1179873772</v>
      </c>
      <c r="FS6" s="83">
        <v>1149747988</v>
      </c>
      <c r="FT6" s="83">
        <v>1596107377</v>
      </c>
      <c r="FU6" s="83">
        <v>482833855</v>
      </c>
      <c r="FV6" s="83">
        <v>1345923764</v>
      </c>
      <c r="FW6" s="83">
        <v>1539915318</v>
      </c>
      <c r="FX6" s="83">
        <v>1147295026</v>
      </c>
      <c r="FY6" s="83">
        <v>1314245351</v>
      </c>
      <c r="FZ6" s="83">
        <v>1587895026</v>
      </c>
      <c r="GA6" s="83">
        <v>1222000000</v>
      </c>
      <c r="GB6" s="83">
        <v>455000000</v>
      </c>
      <c r="GC6" s="83">
        <v>1355195026</v>
      </c>
      <c r="GD6" s="83">
        <v>1377495026</v>
      </c>
      <c r="GE6" s="83">
        <v>1396001793</v>
      </c>
      <c r="GF6" s="83">
        <v>1279769177</v>
      </c>
      <c r="GG6" s="83">
        <v>1437669954</v>
      </c>
      <c r="GH6" s="83">
        <v>1427488907</v>
      </c>
      <c r="GI6" s="83">
        <v>764145177</v>
      </c>
      <c r="GJ6" s="187">
        <v>1277675574</v>
      </c>
      <c r="GK6" s="187">
        <v>1597537326</v>
      </c>
      <c r="GL6" s="187">
        <v>1382026694</v>
      </c>
      <c r="GM6" s="187">
        <v>1193338140</v>
      </c>
      <c r="GN6" s="187">
        <v>954487748</v>
      </c>
      <c r="GO6" s="187">
        <v>1242361052</v>
      </c>
      <c r="GP6" s="187">
        <v>868257717</v>
      </c>
      <c r="GQ6" s="187">
        <v>1488065928</v>
      </c>
      <c r="GR6" s="83">
        <v>1453255905</v>
      </c>
      <c r="GS6" s="83">
        <v>1215798866</v>
      </c>
      <c r="GT6" s="83">
        <v>1098598351</v>
      </c>
      <c r="GU6" s="83">
        <v>1193588012</v>
      </c>
      <c r="GV6" s="83">
        <v>1407587093</v>
      </c>
      <c r="GW6" s="83">
        <v>797691986</v>
      </c>
      <c r="GX6" s="83">
        <v>1691939615</v>
      </c>
      <c r="GY6" s="83">
        <v>1454805871</v>
      </c>
      <c r="GZ6" s="83">
        <v>1243353570</v>
      </c>
      <c r="HA6" s="83">
        <v>1432152194</v>
      </c>
      <c r="HB6" s="83">
        <v>1504378217</v>
      </c>
      <c r="HC6" s="83">
        <v>1930032894</v>
      </c>
      <c r="HD6" s="83">
        <v>809982599</v>
      </c>
      <c r="HE6" s="83">
        <v>1786843226</v>
      </c>
      <c r="HF6" s="83">
        <v>1684140522</v>
      </c>
      <c r="HG6" s="83">
        <v>1457933965</v>
      </c>
      <c r="HH6" s="83">
        <v>1577193937</v>
      </c>
      <c r="HI6" s="83">
        <v>1351119972</v>
      </c>
      <c r="HJ6" s="83">
        <v>1658132137</v>
      </c>
      <c r="HK6" s="83">
        <v>528398618</v>
      </c>
      <c r="HL6" s="83">
        <v>1379508062</v>
      </c>
      <c r="HM6" s="83">
        <v>1391617738</v>
      </c>
      <c r="HN6" s="83">
        <v>1357117932</v>
      </c>
      <c r="HO6" s="83">
        <v>1255302427</v>
      </c>
      <c r="HP6" s="83">
        <v>1459668080</v>
      </c>
      <c r="HQ6" s="83">
        <v>1414644432</v>
      </c>
      <c r="HR6" s="83">
        <v>865579282</v>
      </c>
      <c r="HS6" s="83">
        <v>1410613901</v>
      </c>
      <c r="HT6" s="83">
        <v>1495191801</v>
      </c>
      <c r="HU6" s="83">
        <v>1454731887</v>
      </c>
      <c r="HV6" s="187">
        <v>1133866075</v>
      </c>
      <c r="HW6" s="83">
        <v>1589733368</v>
      </c>
      <c r="HX6" s="187">
        <v>1681735201</v>
      </c>
      <c r="HY6" s="83">
        <v>1127942545</v>
      </c>
      <c r="HZ6" s="187">
        <v>1537779054</v>
      </c>
      <c r="IA6" s="83">
        <v>1652993546</v>
      </c>
      <c r="IB6" s="187">
        <v>1718896262</v>
      </c>
      <c r="IC6" s="83">
        <v>1330315250</v>
      </c>
      <c r="ID6" s="187">
        <v>1638853731</v>
      </c>
      <c r="IE6" s="83">
        <v>1616515002</v>
      </c>
      <c r="IF6" s="187">
        <v>785060798</v>
      </c>
      <c r="IG6" s="83">
        <v>1620005014</v>
      </c>
      <c r="IH6" s="187">
        <v>1561679951</v>
      </c>
      <c r="II6" s="83">
        <v>1380491348</v>
      </c>
      <c r="IJ6" s="187">
        <v>1508285556</v>
      </c>
      <c r="IK6" s="83">
        <v>1408876831</v>
      </c>
      <c r="IL6" s="187">
        <v>1480620722</v>
      </c>
      <c r="IM6" s="83">
        <v>665832302</v>
      </c>
      <c r="IN6" s="187">
        <v>1808729546</v>
      </c>
      <c r="IO6" s="83">
        <v>1259362424</v>
      </c>
      <c r="IP6" s="187">
        <v>1492851065</v>
      </c>
      <c r="IQ6" s="83">
        <v>1027984356</v>
      </c>
      <c r="IR6" s="187">
        <v>1570442847</v>
      </c>
      <c r="IS6" s="83">
        <v>1489546404</v>
      </c>
      <c r="IT6" s="187">
        <v>807679210</v>
      </c>
      <c r="IU6" s="83">
        <v>1688249325</v>
      </c>
      <c r="IV6" s="187">
        <v>1375955603</v>
      </c>
      <c r="IW6" s="83">
        <v>1640001766</v>
      </c>
      <c r="IX6" s="187">
        <v>1311847797</v>
      </c>
      <c r="IY6" s="83">
        <v>1382632016</v>
      </c>
      <c r="IZ6" s="187">
        <v>1465000000</v>
      </c>
      <c r="JA6" s="83">
        <v>597000000</v>
      </c>
      <c r="JB6" s="187">
        <v>1424311770</v>
      </c>
      <c r="JC6" s="83">
        <v>563409521</v>
      </c>
      <c r="JD6" s="187">
        <v>511597125</v>
      </c>
      <c r="JE6" s="83">
        <v>1621305151</v>
      </c>
      <c r="JF6" s="187">
        <v>1560560629</v>
      </c>
      <c r="JG6" s="83">
        <v>1492588111</v>
      </c>
      <c r="JH6" s="187">
        <v>709454780</v>
      </c>
      <c r="JI6" s="83">
        <v>1261080214</v>
      </c>
      <c r="JJ6" s="187">
        <v>1384139331</v>
      </c>
      <c r="JK6" s="83">
        <v>1248235115</v>
      </c>
      <c r="JL6" s="187">
        <v>1317586235</v>
      </c>
      <c r="JM6" s="83">
        <v>1325747653</v>
      </c>
      <c r="JN6" s="187">
        <v>1701450071</v>
      </c>
      <c r="JO6" s="83">
        <v>733519659</v>
      </c>
      <c r="JP6" s="187">
        <v>1236276509</v>
      </c>
      <c r="JQ6" s="83">
        <v>1460547149</v>
      </c>
      <c r="JR6" s="187">
        <v>1330418520</v>
      </c>
      <c r="JS6" s="83">
        <v>1182801807</v>
      </c>
      <c r="JT6" s="187">
        <v>1265459707</v>
      </c>
      <c r="JU6" s="83">
        <v>1661712297</v>
      </c>
      <c r="JV6" s="187">
        <v>852723120</v>
      </c>
      <c r="JW6" s="83">
        <v>1551369839</v>
      </c>
      <c r="JX6" s="187">
        <v>1370376252</v>
      </c>
      <c r="JY6" s="83">
        <v>1499311770</v>
      </c>
      <c r="JZ6" s="187">
        <v>1183504500</v>
      </c>
      <c r="KA6" s="83">
        <v>1595803030</v>
      </c>
      <c r="KB6" s="187">
        <v>1870022882</v>
      </c>
      <c r="KC6" s="83">
        <v>720469440</v>
      </c>
      <c r="KD6" s="187">
        <v>1469407092</v>
      </c>
      <c r="KE6" s="83">
        <v>1562383459</v>
      </c>
      <c r="KF6" s="83">
        <v>1609162429</v>
      </c>
      <c r="KG6" s="83">
        <v>1708162429</v>
      </c>
      <c r="KH6" s="83">
        <v>1242821033</v>
      </c>
      <c r="KI6" s="83">
        <v>1703823715</v>
      </c>
      <c r="KJ6" s="83">
        <v>1097109920</v>
      </c>
      <c r="KK6" s="83">
        <v>2333735069</v>
      </c>
      <c r="KL6" s="83">
        <v>1436592995</v>
      </c>
      <c r="KM6" s="83">
        <v>1660579644</v>
      </c>
      <c r="KN6" s="83">
        <v>1731223561</v>
      </c>
      <c r="KO6" s="83">
        <v>1585546058</v>
      </c>
      <c r="KP6" s="83">
        <v>1952668434</v>
      </c>
      <c r="KQ6" s="83">
        <v>883228275</v>
      </c>
      <c r="KR6" s="83">
        <v>1777637866</v>
      </c>
      <c r="KS6" s="83">
        <v>1609595523</v>
      </c>
      <c r="KT6" s="83">
        <v>1807266012</v>
      </c>
      <c r="KU6" s="83">
        <v>1430538687</v>
      </c>
      <c r="KV6" s="83">
        <v>1725318380</v>
      </c>
      <c r="KW6" s="83">
        <v>2036944584</v>
      </c>
      <c r="KX6" s="83">
        <v>730029136</v>
      </c>
      <c r="KY6" s="83">
        <v>1395161714</v>
      </c>
      <c r="KZ6" s="83">
        <v>1561635147</v>
      </c>
      <c r="LA6" s="83">
        <v>1499935617</v>
      </c>
      <c r="LB6" s="83">
        <v>1742956953</v>
      </c>
      <c r="LC6" s="83">
        <v>1430450675</v>
      </c>
      <c r="LD6" s="83">
        <v>1844567465</v>
      </c>
      <c r="LE6" s="83">
        <v>917192143</v>
      </c>
      <c r="LF6" s="83">
        <v>1431909377</v>
      </c>
      <c r="LG6" s="83">
        <v>1429091529</v>
      </c>
      <c r="LH6" s="83">
        <v>1717876204</v>
      </c>
      <c r="LI6" s="83">
        <v>1783336774</v>
      </c>
      <c r="LJ6" s="83">
        <v>1580813985</v>
      </c>
      <c r="LK6" s="83">
        <v>2066100680</v>
      </c>
      <c r="LL6" s="83">
        <v>931604564</v>
      </c>
      <c r="LM6" s="83">
        <v>1360393680</v>
      </c>
      <c r="LN6" s="83">
        <v>1542672467</v>
      </c>
      <c r="LO6" s="83">
        <v>1481555840</v>
      </c>
      <c r="LP6" s="83">
        <v>1389304118</v>
      </c>
      <c r="LQ6" s="83">
        <v>1439673462</v>
      </c>
      <c r="LR6" s="83">
        <v>1872265821</v>
      </c>
      <c r="LS6" s="83">
        <v>744929273</v>
      </c>
      <c r="LT6" s="83">
        <v>1473979675</v>
      </c>
      <c r="LU6" s="83">
        <v>1926597366</v>
      </c>
      <c r="LV6" s="83">
        <v>1273747376</v>
      </c>
      <c r="LW6" s="83">
        <v>1200274940</v>
      </c>
      <c r="LX6" s="83">
        <v>1511659476</v>
      </c>
      <c r="LY6" s="83">
        <v>1774519170</v>
      </c>
      <c r="LZ6" s="83">
        <v>728977257</v>
      </c>
      <c r="MA6" s="83">
        <v>1714288827</v>
      </c>
      <c r="MB6" s="83">
        <v>1692443895</v>
      </c>
      <c r="MC6" s="83">
        <v>1348190893</v>
      </c>
      <c r="MD6" s="83">
        <v>1172078957</v>
      </c>
      <c r="ME6" s="83">
        <v>1508591045</v>
      </c>
      <c r="MF6" s="83">
        <v>1772141555</v>
      </c>
      <c r="MG6" s="83">
        <v>742127723</v>
      </c>
      <c r="MH6" s="83">
        <v>1632548116</v>
      </c>
      <c r="MI6" s="83">
        <v>1298340018</v>
      </c>
      <c r="MJ6" s="83">
        <v>1409226104</v>
      </c>
      <c r="MK6" s="83">
        <v>1461848634</v>
      </c>
      <c r="ML6" s="83">
        <v>1443490199</v>
      </c>
      <c r="MM6" s="83">
        <v>1573372626</v>
      </c>
      <c r="MN6" s="83">
        <v>859437842</v>
      </c>
      <c r="MO6" s="83">
        <v>1440006188</v>
      </c>
      <c r="MP6" s="83">
        <v>1827687856</v>
      </c>
      <c r="MQ6" s="83">
        <v>1233057835</v>
      </c>
      <c r="MR6" s="83">
        <v>1546089086</v>
      </c>
      <c r="MS6" s="83">
        <v>1521492569</v>
      </c>
      <c r="MT6" s="83">
        <v>1740865212</v>
      </c>
      <c r="MU6" s="83">
        <v>689474126</v>
      </c>
      <c r="MV6" s="83">
        <v>1698755504</v>
      </c>
      <c r="MW6" s="83">
        <v>1612742803</v>
      </c>
      <c r="MX6" s="83">
        <v>1999263387</v>
      </c>
      <c r="MY6" s="83">
        <v>1554222134</v>
      </c>
      <c r="MZ6" s="83">
        <v>1396546770</v>
      </c>
      <c r="NA6" s="83">
        <v>1623292122</v>
      </c>
      <c r="NB6" s="83">
        <v>797589359</v>
      </c>
      <c r="NC6" s="83">
        <v>1522124639</v>
      </c>
      <c r="ND6" s="83">
        <v>1453703275</v>
      </c>
      <c r="NE6" s="83">
        <v>1684681439</v>
      </c>
      <c r="NF6" s="83">
        <v>1434741542</v>
      </c>
      <c r="NG6" s="83">
        <v>1334102594</v>
      </c>
      <c r="NH6" s="83">
        <v>1531037856</v>
      </c>
      <c r="NI6" s="83">
        <v>709269147</v>
      </c>
      <c r="NJ6" s="83">
        <v>1595726665</v>
      </c>
      <c r="NK6" s="83">
        <v>1365644813</v>
      </c>
      <c r="NL6" s="83">
        <v>1303789089</v>
      </c>
      <c r="NM6" s="83">
        <v>1545980978</v>
      </c>
      <c r="NN6" s="83">
        <v>1467453890</v>
      </c>
      <c r="NO6" s="83">
        <v>1474595188</v>
      </c>
      <c r="NP6" s="83">
        <v>640463785</v>
      </c>
      <c r="NQ6" s="83">
        <v>1417479535</v>
      </c>
      <c r="NR6" s="83">
        <v>1780109711</v>
      </c>
      <c r="NS6" s="83">
        <v>1263433305</v>
      </c>
      <c r="NW6" s="230" t="s">
        <v>10</v>
      </c>
      <c r="NX6" s="187">
        <f t="shared" si="11"/>
        <v>27535932995</v>
      </c>
      <c r="NY6" s="187">
        <f t="shared" si="12"/>
        <v>30734744456</v>
      </c>
      <c r="NZ6" s="187">
        <f t="shared" si="13"/>
        <v>38969116411</v>
      </c>
      <c r="OA6" s="187">
        <f t="shared" si="14"/>
        <v>34206641767</v>
      </c>
      <c r="OB6" s="187">
        <f t="shared" si="15"/>
        <v>36056441906</v>
      </c>
      <c r="OC6" s="187">
        <f t="shared" si="16"/>
        <v>36246884590</v>
      </c>
      <c r="OD6" s="187">
        <f t="shared" si="17"/>
        <v>41894769167</v>
      </c>
      <c r="OE6" s="187">
        <f t="shared" si="18"/>
        <v>43222898840</v>
      </c>
      <c r="OF6" s="187">
        <f t="shared" si="19"/>
        <v>38667572738</v>
      </c>
      <c r="OG6" s="187">
        <f t="shared" si="20"/>
        <v>48396911333</v>
      </c>
      <c r="OH6" s="187">
        <f t="shared" si="21"/>
        <v>42346381599</v>
      </c>
      <c r="OI6" s="187">
        <f t="shared" si="22"/>
        <v>44205422402</v>
      </c>
      <c r="OJ6" s="187">
        <f t="shared" si="23"/>
        <v>462483718204</v>
      </c>
      <c r="OK6" s="187">
        <f t="shared" si="24"/>
        <v>97239793862</v>
      </c>
      <c r="OL6" s="187">
        <f t="shared" si="25"/>
        <v>106509968263</v>
      </c>
      <c r="OM6" s="187">
        <f t="shared" si="26"/>
        <v>123785240745</v>
      </c>
      <c r="ON6" s="187">
        <f t="shared" si="27"/>
        <v>134948715334</v>
      </c>
      <c r="OO6" s="187"/>
      <c r="OP6" s="83">
        <v>562779688</v>
      </c>
      <c r="OQ6" s="83">
        <v>1555102280</v>
      </c>
      <c r="OR6" s="83">
        <v>1293003605</v>
      </c>
      <c r="OS6" s="187">
        <v>734776436</v>
      </c>
      <c r="OT6" s="187">
        <v>1482691932</v>
      </c>
      <c r="OU6" s="187">
        <v>1286390851</v>
      </c>
      <c r="OV6" s="187">
        <v>1404954793</v>
      </c>
      <c r="OW6" s="187">
        <v>1263701899</v>
      </c>
      <c r="OX6" s="187">
        <v>1363106874</v>
      </c>
      <c r="OY6" s="187">
        <v>1485079740</v>
      </c>
      <c r="OZ6" s="187">
        <v>915727708</v>
      </c>
      <c r="PA6" s="187">
        <v>1728036816</v>
      </c>
      <c r="PB6" s="187">
        <v>1588171759</v>
      </c>
      <c r="PC6">
        <v>1356661215</v>
      </c>
      <c r="PD6">
        <v>1438352299</v>
      </c>
      <c r="PE6">
        <v>1555968420</v>
      </c>
      <c r="PF6">
        <v>1407618430</v>
      </c>
      <c r="PG6">
        <v>643189663</v>
      </c>
      <c r="PH6">
        <v>1027717835</v>
      </c>
    </row>
    <row r="7" spans="2:770">
      <c r="B7" s="379" t="s">
        <v>41</v>
      </c>
      <c r="C7" s="369" t="s">
        <v>42</v>
      </c>
      <c r="D7" s="380">
        <f>P25</f>
        <v>1470</v>
      </c>
      <c r="E7" s="380">
        <f>P21</f>
        <v>885.07</v>
      </c>
      <c r="F7" s="380">
        <f>P33</f>
        <v>1268</v>
      </c>
      <c r="G7" s="380">
        <f>P29</f>
        <v>3283</v>
      </c>
      <c r="H7" s="380">
        <f>P41</f>
        <v>343</v>
      </c>
      <c r="I7" s="380">
        <f>P37</f>
        <v>0</v>
      </c>
      <c r="J7" s="370">
        <f>SUM(D7:I7)</f>
        <v>7249.07</v>
      </c>
      <c r="L7" s="199">
        <f t="shared" si="33"/>
        <v>0</v>
      </c>
      <c r="M7" s="235">
        <f>I4/10^3</f>
        <v>0</v>
      </c>
      <c r="N7" s="234">
        <f t="shared" si="34"/>
        <v>0.92378009000000005</v>
      </c>
      <c r="O7" s="228">
        <f t="shared" ca="1" si="35"/>
        <v>628.31002297758323</v>
      </c>
      <c r="P7" s="230" t="s">
        <v>10</v>
      </c>
      <c r="Q7" s="191">
        <v>6.9123340328434155</v>
      </c>
      <c r="R7" s="259">
        <f t="shared" si="10"/>
        <v>0.13364228140751461</v>
      </c>
      <c r="S7" s="83">
        <v>0</v>
      </c>
      <c r="T7" s="83">
        <v>207826005</v>
      </c>
      <c r="U7" s="83">
        <v>102569142</v>
      </c>
      <c r="V7" s="83">
        <v>129389304</v>
      </c>
      <c r="W7" s="83">
        <v>3292903</v>
      </c>
      <c r="X7" s="83">
        <v>53546447</v>
      </c>
      <c r="Y7" s="83">
        <v>74214732</v>
      </c>
      <c r="Z7" s="83">
        <v>129029501</v>
      </c>
      <c r="AA7" s="83">
        <v>172984133</v>
      </c>
      <c r="AB7" s="83">
        <v>139326300</v>
      </c>
      <c r="AC7" s="83">
        <v>211620120</v>
      </c>
      <c r="AD7" s="87">
        <v>1691941</v>
      </c>
      <c r="AE7" s="83">
        <v>66380381</v>
      </c>
      <c r="AF7" s="83">
        <v>87152030</v>
      </c>
      <c r="AG7" s="83">
        <v>222648773</v>
      </c>
      <c r="AH7" s="83">
        <v>163525660</v>
      </c>
      <c r="AI7" s="83">
        <v>113225735</v>
      </c>
      <c r="AJ7" s="83">
        <v>180624631</v>
      </c>
      <c r="AK7" s="83">
        <v>1810192</v>
      </c>
      <c r="AL7" s="87">
        <v>96264572</v>
      </c>
      <c r="AM7" s="83">
        <v>105129239</v>
      </c>
      <c r="AN7" s="83">
        <v>154964399</v>
      </c>
      <c r="AO7" s="83">
        <v>84191618</v>
      </c>
      <c r="AP7" s="83">
        <v>176069873</v>
      </c>
      <c r="AQ7" s="83">
        <v>35252809</v>
      </c>
      <c r="AR7" s="83">
        <v>3728890</v>
      </c>
      <c r="AS7" s="83">
        <v>0</v>
      </c>
      <c r="AT7" s="83">
        <v>0</v>
      </c>
      <c r="AU7" s="83">
        <v>0</v>
      </c>
      <c r="AV7" s="83">
        <v>0</v>
      </c>
      <c r="AW7" s="87">
        <v>0</v>
      </c>
      <c r="AX7" s="83">
        <v>0</v>
      </c>
      <c r="AY7" s="83">
        <v>0</v>
      </c>
      <c r="AZ7" s="83">
        <v>29722263</v>
      </c>
      <c r="BA7" s="83">
        <v>30177362</v>
      </c>
      <c r="BB7" s="83">
        <v>39228706</v>
      </c>
      <c r="BC7" s="83">
        <v>160189122</v>
      </c>
      <c r="BD7" s="83">
        <v>195206253</v>
      </c>
      <c r="BE7" s="83">
        <v>279321017</v>
      </c>
      <c r="BF7" s="83">
        <v>2046690</v>
      </c>
      <c r="BG7" s="83">
        <v>129562488</v>
      </c>
      <c r="BH7" s="83">
        <v>150949357</v>
      </c>
      <c r="BI7" s="83">
        <v>221092500</v>
      </c>
      <c r="BJ7" s="83">
        <v>139366888</v>
      </c>
      <c r="BK7" s="83">
        <v>105591636</v>
      </c>
      <c r="BL7" s="83">
        <v>146242651</v>
      </c>
      <c r="BM7" s="83">
        <v>3918760</v>
      </c>
      <c r="BN7" s="83">
        <v>82780022</v>
      </c>
      <c r="BO7" s="83">
        <v>126433168</v>
      </c>
      <c r="BP7" s="83">
        <v>132319207</v>
      </c>
      <c r="BQ7" s="83">
        <v>79180632</v>
      </c>
      <c r="BR7" s="83">
        <v>102493231</v>
      </c>
      <c r="BS7" s="83">
        <v>238886507</v>
      </c>
      <c r="BT7" s="83">
        <v>2347254</v>
      </c>
      <c r="BU7" s="83">
        <v>131354817</v>
      </c>
      <c r="BV7" s="83">
        <v>139392745</v>
      </c>
      <c r="BW7" s="83">
        <v>165774699</v>
      </c>
      <c r="BX7" s="83">
        <v>164858490</v>
      </c>
      <c r="BY7" s="83">
        <v>357688349</v>
      </c>
      <c r="BZ7" s="83">
        <v>142495381</v>
      </c>
      <c r="CA7" s="83">
        <v>5509733</v>
      </c>
      <c r="CB7" s="83">
        <v>142721949</v>
      </c>
      <c r="CC7" s="83">
        <v>129222245</v>
      </c>
      <c r="CD7" s="83">
        <v>178239646</v>
      </c>
      <c r="CE7" s="83">
        <v>104288265</v>
      </c>
      <c r="CF7" s="83">
        <v>87005540</v>
      </c>
      <c r="CG7" s="83">
        <v>149508536</v>
      </c>
      <c r="CH7" s="83">
        <v>3562613</v>
      </c>
      <c r="CI7" s="83">
        <v>275298690</v>
      </c>
      <c r="CJ7" s="83">
        <v>161122332</v>
      </c>
      <c r="CK7" s="87">
        <v>181516095</v>
      </c>
      <c r="CL7" s="83">
        <v>121525466</v>
      </c>
      <c r="CM7" s="83">
        <v>220727536</v>
      </c>
      <c r="CN7" s="83">
        <v>218470378</v>
      </c>
      <c r="CO7" s="83">
        <v>4902578</v>
      </c>
      <c r="CP7" s="83">
        <v>182199538</v>
      </c>
      <c r="CQ7" s="83">
        <v>139975585</v>
      </c>
      <c r="CR7" s="83">
        <v>145840754</v>
      </c>
      <c r="CS7" s="87">
        <v>97299256</v>
      </c>
      <c r="CT7" s="83">
        <v>97382780</v>
      </c>
      <c r="CU7" s="83">
        <v>111629571</v>
      </c>
      <c r="CV7" s="83">
        <v>4798082</v>
      </c>
      <c r="CW7" s="83">
        <v>158547573</v>
      </c>
      <c r="CX7" s="83">
        <v>84972610</v>
      </c>
      <c r="CY7" s="83">
        <v>109803120</v>
      </c>
      <c r="CZ7" s="83">
        <v>85823937</v>
      </c>
      <c r="DA7" s="83">
        <v>174632257</v>
      </c>
      <c r="DB7" s="83">
        <v>137161992</v>
      </c>
      <c r="DC7" s="83">
        <v>2447721</v>
      </c>
      <c r="DD7" s="87">
        <v>298318019</v>
      </c>
      <c r="DE7" s="83">
        <v>175650853</v>
      </c>
      <c r="DF7" s="83">
        <v>91482630</v>
      </c>
      <c r="DG7" s="83">
        <v>191571350</v>
      </c>
      <c r="DH7" s="83">
        <v>179171550</v>
      </c>
      <c r="DI7" s="83">
        <v>255598522</v>
      </c>
      <c r="DJ7" s="83">
        <v>2110872</v>
      </c>
      <c r="DK7" s="137">
        <v>0</v>
      </c>
      <c r="DL7" s="83">
        <v>145014570</v>
      </c>
      <c r="DM7" s="83">
        <v>209911418</v>
      </c>
      <c r="DN7" s="83">
        <v>122648205</v>
      </c>
      <c r="DO7" s="83">
        <v>164848255</v>
      </c>
      <c r="DP7" s="83">
        <v>139995383</v>
      </c>
      <c r="DQ7" s="83">
        <v>1709036</v>
      </c>
      <c r="DR7" s="83">
        <v>81136838</v>
      </c>
      <c r="DS7" s="83">
        <v>197310017</v>
      </c>
      <c r="DT7" s="83">
        <v>109269535</v>
      </c>
      <c r="DU7" s="83">
        <v>152884654</v>
      </c>
      <c r="DV7" s="83">
        <v>121412257</v>
      </c>
      <c r="DW7" s="83">
        <v>224749504</v>
      </c>
      <c r="DX7" s="83">
        <v>2801078</v>
      </c>
      <c r="DY7" s="83">
        <v>81184362</v>
      </c>
      <c r="DZ7" s="83">
        <v>128963798</v>
      </c>
      <c r="EA7" s="83">
        <v>162544870</v>
      </c>
      <c r="EB7" s="83">
        <v>163617758</v>
      </c>
      <c r="EC7" s="83">
        <v>103438812</v>
      </c>
      <c r="ED7" s="83">
        <v>157319068</v>
      </c>
      <c r="EE7" s="137">
        <v>0</v>
      </c>
      <c r="EF7" s="83">
        <v>201130385</v>
      </c>
      <c r="EG7" s="83">
        <v>144331390</v>
      </c>
      <c r="EH7" s="137">
        <v>0</v>
      </c>
      <c r="EI7" s="137">
        <v>0</v>
      </c>
      <c r="EJ7" s="83">
        <v>70132166</v>
      </c>
      <c r="EK7" s="83">
        <v>62062928</v>
      </c>
      <c r="EL7" s="137">
        <v>0</v>
      </c>
      <c r="EM7" s="83">
        <v>98734585</v>
      </c>
      <c r="EN7" s="83">
        <v>87463542</v>
      </c>
      <c r="EO7" s="83">
        <v>107401785</v>
      </c>
      <c r="EP7" s="83">
        <v>113010280</v>
      </c>
      <c r="EQ7" s="83">
        <v>78344541</v>
      </c>
      <c r="ER7" s="83">
        <v>106273077</v>
      </c>
      <c r="ES7" s="137">
        <v>0</v>
      </c>
      <c r="ET7" s="83">
        <v>170782548</v>
      </c>
      <c r="EU7" s="83">
        <v>102488443</v>
      </c>
      <c r="EV7" s="83">
        <v>134520819</v>
      </c>
      <c r="EW7" s="83">
        <v>179132580</v>
      </c>
      <c r="EX7" s="83">
        <v>208663664</v>
      </c>
      <c r="EY7" s="83">
        <v>56856676</v>
      </c>
      <c r="EZ7" s="137">
        <v>0</v>
      </c>
      <c r="FA7" s="83">
        <v>77111604</v>
      </c>
      <c r="FB7" s="83">
        <v>214964695</v>
      </c>
      <c r="FC7" s="83">
        <v>107755423</v>
      </c>
      <c r="FD7" s="83">
        <v>52240931</v>
      </c>
      <c r="FE7" s="83">
        <v>105721486</v>
      </c>
      <c r="FF7" s="83">
        <v>44893785</v>
      </c>
      <c r="FG7" s="137">
        <v>0</v>
      </c>
      <c r="FH7" s="83">
        <v>61236549</v>
      </c>
      <c r="FI7" s="83">
        <v>126425045</v>
      </c>
      <c r="FJ7" s="83">
        <v>70859611</v>
      </c>
      <c r="FK7" s="83">
        <v>153424243</v>
      </c>
      <c r="FL7" s="187">
        <v>57302056</v>
      </c>
      <c r="FM7" s="187">
        <v>87047009</v>
      </c>
      <c r="FN7" s="137">
        <v>0</v>
      </c>
      <c r="FO7" s="83">
        <v>143572959</v>
      </c>
      <c r="FP7" s="83">
        <v>120040888</v>
      </c>
      <c r="FQ7" s="83">
        <v>259552435</v>
      </c>
      <c r="FR7" s="83">
        <v>113028479</v>
      </c>
      <c r="FS7" s="83">
        <v>154894948</v>
      </c>
      <c r="FT7" s="83">
        <v>179592623</v>
      </c>
      <c r="FU7" s="137">
        <v>0</v>
      </c>
      <c r="FV7" s="83">
        <v>82084840</v>
      </c>
      <c r="FW7" s="83">
        <v>84139448</v>
      </c>
      <c r="FX7" s="83">
        <v>109087375</v>
      </c>
      <c r="FY7" s="83">
        <v>190099542</v>
      </c>
      <c r="FZ7" s="83">
        <v>63518887</v>
      </c>
      <c r="GA7" s="83">
        <v>170956844</v>
      </c>
      <c r="GB7" s="137">
        <v>0</v>
      </c>
      <c r="GC7" s="83">
        <v>90324015</v>
      </c>
      <c r="GD7" s="83">
        <v>126315266</v>
      </c>
      <c r="GE7" s="83">
        <v>172458559</v>
      </c>
      <c r="GF7" s="83">
        <v>220407493</v>
      </c>
      <c r="GG7" s="83">
        <v>45895627</v>
      </c>
      <c r="GH7" s="83">
        <v>167502304</v>
      </c>
      <c r="GI7" s="137">
        <v>0</v>
      </c>
      <c r="GJ7" s="187">
        <v>241215298</v>
      </c>
      <c r="GK7" s="187">
        <v>234260165</v>
      </c>
      <c r="GL7" s="187">
        <v>175744421</v>
      </c>
      <c r="GM7" s="187">
        <v>135660421</v>
      </c>
      <c r="GN7" s="187">
        <v>153813378</v>
      </c>
      <c r="GO7" s="187">
        <v>180662387</v>
      </c>
      <c r="GP7" s="187">
        <v>0</v>
      </c>
      <c r="GQ7" s="187">
        <v>152754601</v>
      </c>
      <c r="GR7" s="83">
        <v>121640150</v>
      </c>
      <c r="GS7" s="83">
        <v>111675714</v>
      </c>
      <c r="GT7" s="83">
        <v>60348715</v>
      </c>
      <c r="GU7" s="83">
        <v>57908201</v>
      </c>
      <c r="GV7" s="83">
        <v>85888065</v>
      </c>
      <c r="GW7" s="137">
        <v>0</v>
      </c>
      <c r="GX7" s="83">
        <v>112780433</v>
      </c>
      <c r="GY7" s="83">
        <v>88306839</v>
      </c>
      <c r="GZ7" s="83">
        <v>54373666</v>
      </c>
      <c r="HA7" s="83">
        <v>116133556</v>
      </c>
      <c r="HB7" s="83">
        <v>110868345</v>
      </c>
      <c r="HC7" s="83">
        <v>142549709</v>
      </c>
      <c r="HD7" s="137">
        <v>0</v>
      </c>
      <c r="HE7" s="83">
        <v>141775231</v>
      </c>
      <c r="HF7" s="83">
        <v>165836352</v>
      </c>
      <c r="HG7" s="83">
        <v>91620814</v>
      </c>
      <c r="HH7" s="83">
        <v>150299946</v>
      </c>
      <c r="HI7" s="83">
        <v>155507212</v>
      </c>
      <c r="HJ7" s="83">
        <v>199720620</v>
      </c>
      <c r="HK7" s="137">
        <v>0</v>
      </c>
      <c r="HL7" s="83">
        <v>186631236</v>
      </c>
      <c r="HM7" s="83">
        <v>136815942</v>
      </c>
      <c r="HN7" s="83">
        <v>156540446</v>
      </c>
      <c r="HO7" s="83">
        <v>272472055</v>
      </c>
      <c r="HP7" s="83">
        <v>139897735</v>
      </c>
      <c r="HQ7" s="83">
        <v>123699265</v>
      </c>
      <c r="HR7" s="137">
        <v>0</v>
      </c>
      <c r="HS7" s="83">
        <v>183236324</v>
      </c>
      <c r="HT7" s="83">
        <v>81606853</v>
      </c>
      <c r="HU7" s="83">
        <v>283808787</v>
      </c>
      <c r="HV7" s="187">
        <v>138838635</v>
      </c>
      <c r="HW7" s="83">
        <v>215497891</v>
      </c>
      <c r="HX7" s="187">
        <v>131272640</v>
      </c>
      <c r="HY7" s="83">
        <v>0</v>
      </c>
      <c r="HZ7" s="187">
        <v>149629852</v>
      </c>
      <c r="IA7" s="83">
        <v>166408851</v>
      </c>
      <c r="IB7" s="187">
        <v>163898130</v>
      </c>
      <c r="IC7" s="83">
        <v>55559055</v>
      </c>
      <c r="ID7" s="187">
        <v>86958209</v>
      </c>
      <c r="IE7" s="83">
        <v>110890115</v>
      </c>
      <c r="IF7" s="187">
        <v>0</v>
      </c>
      <c r="IG7" s="83">
        <v>196496132</v>
      </c>
      <c r="IH7" s="187">
        <v>166581818</v>
      </c>
      <c r="II7" s="83">
        <v>98649055</v>
      </c>
      <c r="IJ7" s="187">
        <v>114214015</v>
      </c>
      <c r="IK7" s="83">
        <v>288153192</v>
      </c>
      <c r="IL7" s="187">
        <v>122535922</v>
      </c>
      <c r="IM7" s="83">
        <v>0</v>
      </c>
      <c r="IN7" s="187">
        <v>96430070</v>
      </c>
      <c r="IO7" s="83">
        <v>168273913</v>
      </c>
      <c r="IP7" s="187">
        <v>95249468</v>
      </c>
      <c r="IQ7" s="83">
        <v>90002148</v>
      </c>
      <c r="IR7" s="187">
        <v>95215582</v>
      </c>
      <c r="IS7" s="83">
        <v>110851583</v>
      </c>
      <c r="IT7" s="187">
        <v>0</v>
      </c>
      <c r="IU7" s="83">
        <v>87485109</v>
      </c>
      <c r="IV7" s="187">
        <v>148461597</v>
      </c>
      <c r="IW7" s="83">
        <v>32901530</v>
      </c>
      <c r="IX7" s="187">
        <v>69550693</v>
      </c>
      <c r="IY7" s="83">
        <v>92656337</v>
      </c>
      <c r="IZ7" s="187">
        <v>250541754</v>
      </c>
      <c r="JA7" s="83">
        <v>0</v>
      </c>
      <c r="JB7" s="187">
        <v>0</v>
      </c>
      <c r="JC7" s="83">
        <v>0</v>
      </c>
      <c r="JD7" s="187">
        <v>74386228</v>
      </c>
      <c r="JE7" s="83">
        <v>72603263</v>
      </c>
      <c r="JF7" s="187">
        <v>130668490</v>
      </c>
      <c r="JG7" s="83">
        <v>130989354</v>
      </c>
      <c r="JH7" s="187">
        <v>0</v>
      </c>
      <c r="JI7" s="83">
        <v>65170465</v>
      </c>
      <c r="JJ7" s="187">
        <v>45140696</v>
      </c>
      <c r="JK7" s="83">
        <v>66180420</v>
      </c>
      <c r="JL7" s="187">
        <v>92619050</v>
      </c>
      <c r="JM7" s="83">
        <v>90242040</v>
      </c>
      <c r="JN7" s="187">
        <v>85785427</v>
      </c>
      <c r="JO7" s="83">
        <v>0</v>
      </c>
      <c r="JP7" s="187">
        <v>87598142</v>
      </c>
      <c r="JQ7" s="83">
        <v>109664615</v>
      </c>
      <c r="JR7" s="187">
        <v>92160970</v>
      </c>
      <c r="JS7" s="83">
        <v>62974122</v>
      </c>
      <c r="JT7" s="187">
        <v>52812126</v>
      </c>
      <c r="JU7" s="83">
        <v>74944163</v>
      </c>
      <c r="JV7" s="187">
        <v>0</v>
      </c>
      <c r="JW7" s="83">
        <v>55240108</v>
      </c>
      <c r="JX7" s="187">
        <v>104294112</v>
      </c>
      <c r="JY7" s="83">
        <v>89548201</v>
      </c>
      <c r="JZ7" s="187">
        <v>62037376</v>
      </c>
      <c r="KA7" s="83">
        <v>194753739</v>
      </c>
      <c r="KB7" s="187">
        <v>144711053</v>
      </c>
      <c r="KC7" s="83">
        <v>0</v>
      </c>
      <c r="KD7" s="187">
        <v>62808581</v>
      </c>
      <c r="KE7" s="83">
        <v>129014572</v>
      </c>
      <c r="KF7" s="83">
        <v>71876565</v>
      </c>
      <c r="KG7" s="83">
        <v>44782059</v>
      </c>
      <c r="KH7" s="83">
        <v>86116550</v>
      </c>
      <c r="KI7" s="83">
        <v>125755776</v>
      </c>
      <c r="KJ7" s="137">
        <v>0</v>
      </c>
      <c r="KK7" s="83">
        <v>153565793</v>
      </c>
      <c r="KL7" s="83">
        <v>67191658</v>
      </c>
      <c r="KM7" s="83">
        <v>165932826</v>
      </c>
      <c r="KN7" s="83">
        <v>78621612</v>
      </c>
      <c r="KO7" s="83">
        <v>47885145</v>
      </c>
      <c r="KP7" s="83">
        <v>98338932</v>
      </c>
      <c r="KQ7" s="137">
        <v>0</v>
      </c>
      <c r="KR7" s="83">
        <v>97268400</v>
      </c>
      <c r="KS7" s="83">
        <v>84397439</v>
      </c>
      <c r="KT7" s="83">
        <v>51954450</v>
      </c>
      <c r="KU7" s="83">
        <v>91377272</v>
      </c>
      <c r="KV7" s="83">
        <v>151291063</v>
      </c>
      <c r="KW7" s="83">
        <v>178280892</v>
      </c>
      <c r="KX7" s="137">
        <v>0</v>
      </c>
      <c r="KY7" s="83">
        <v>85240389</v>
      </c>
      <c r="KZ7" s="83">
        <v>79005627</v>
      </c>
      <c r="LA7" s="83">
        <v>105062028</v>
      </c>
      <c r="LB7" s="83">
        <v>44745209</v>
      </c>
      <c r="LC7" s="83">
        <v>194397537</v>
      </c>
      <c r="LD7" s="83">
        <v>122928718</v>
      </c>
      <c r="LE7" s="137">
        <v>0</v>
      </c>
      <c r="LF7" s="83">
        <v>72083324</v>
      </c>
      <c r="LG7" s="83">
        <v>76088908</v>
      </c>
      <c r="LH7" s="83">
        <v>43224872</v>
      </c>
      <c r="LI7" s="83">
        <v>69119081</v>
      </c>
      <c r="LJ7" s="83">
        <v>127443714</v>
      </c>
      <c r="LK7" s="83">
        <v>179019118</v>
      </c>
      <c r="LL7" s="137">
        <v>0</v>
      </c>
      <c r="LM7" s="83">
        <v>32672953</v>
      </c>
      <c r="LN7" s="83">
        <v>100674265</v>
      </c>
      <c r="LO7" s="83">
        <v>96217529</v>
      </c>
      <c r="LP7" s="83">
        <v>99178875</v>
      </c>
      <c r="LQ7" s="83">
        <v>74856531</v>
      </c>
      <c r="LR7" s="83">
        <v>142918470</v>
      </c>
      <c r="LS7" s="137">
        <v>0</v>
      </c>
      <c r="LT7" s="83">
        <v>93875771</v>
      </c>
      <c r="LU7" s="83">
        <v>76226792</v>
      </c>
      <c r="LV7" s="83">
        <v>40723631</v>
      </c>
      <c r="LW7" s="83">
        <v>53725489</v>
      </c>
      <c r="LX7" s="83">
        <v>58378554</v>
      </c>
      <c r="LY7" s="83">
        <v>68551319</v>
      </c>
      <c r="LZ7" s="83">
        <v>0</v>
      </c>
      <c r="MA7" s="83">
        <v>114671931</v>
      </c>
      <c r="MB7" s="83">
        <v>145388610</v>
      </c>
      <c r="MC7" s="83">
        <v>167041709</v>
      </c>
      <c r="MD7" s="83">
        <v>38114225</v>
      </c>
      <c r="ME7" s="83">
        <v>90629495</v>
      </c>
      <c r="MF7" s="83">
        <v>263257838</v>
      </c>
      <c r="MG7" s="83">
        <v>0</v>
      </c>
      <c r="MH7" s="83">
        <v>63102296</v>
      </c>
      <c r="MI7" s="83">
        <v>196104443</v>
      </c>
      <c r="MJ7" s="83">
        <v>37122420</v>
      </c>
      <c r="MK7" s="83">
        <v>88832154</v>
      </c>
      <c r="ML7" s="83">
        <v>124371771</v>
      </c>
      <c r="MM7" s="83">
        <v>57884411</v>
      </c>
      <c r="MN7" s="83">
        <v>0</v>
      </c>
      <c r="MO7" s="83">
        <v>112035774</v>
      </c>
      <c r="MP7" s="83">
        <v>169249502</v>
      </c>
      <c r="MQ7" s="83">
        <v>53500319</v>
      </c>
      <c r="MR7" s="83">
        <v>78918654</v>
      </c>
      <c r="MS7" s="83">
        <v>100602428</v>
      </c>
      <c r="MT7" s="83">
        <v>53942415</v>
      </c>
      <c r="MU7" s="137">
        <v>0</v>
      </c>
      <c r="MV7" s="83">
        <v>107448319</v>
      </c>
      <c r="MW7" s="83">
        <v>84921615</v>
      </c>
      <c r="MX7" s="83">
        <v>67105016</v>
      </c>
      <c r="MY7" s="83">
        <v>75808356</v>
      </c>
      <c r="MZ7" s="83">
        <v>79768456</v>
      </c>
      <c r="NA7" s="83">
        <v>83370167</v>
      </c>
      <c r="NB7" s="83">
        <v>0</v>
      </c>
      <c r="NC7" s="83">
        <v>133559638</v>
      </c>
      <c r="ND7" s="83">
        <v>85042949</v>
      </c>
      <c r="NE7" s="83">
        <v>28617946</v>
      </c>
      <c r="NF7" s="83">
        <v>142422002</v>
      </c>
      <c r="NG7" s="83">
        <v>112097804</v>
      </c>
      <c r="NH7" s="83">
        <v>102120372</v>
      </c>
      <c r="NI7" s="83">
        <v>0</v>
      </c>
      <c r="NJ7" s="83">
        <v>123549037</v>
      </c>
      <c r="NK7" s="83">
        <v>89100023</v>
      </c>
      <c r="NL7" s="83">
        <v>88379194</v>
      </c>
      <c r="NM7" s="83">
        <v>115694875</v>
      </c>
      <c r="NN7" s="83">
        <v>55437442</v>
      </c>
      <c r="NO7" s="83">
        <v>88838970</v>
      </c>
      <c r="NP7" s="83">
        <v>0</v>
      </c>
      <c r="NQ7" s="83">
        <v>146642022</v>
      </c>
      <c r="NR7" s="83">
        <v>72074362</v>
      </c>
      <c r="NS7" s="83">
        <v>36472631</v>
      </c>
      <c r="NW7" s="230" t="s">
        <v>9</v>
      </c>
      <c r="NX7" s="187">
        <f t="shared" si="11"/>
        <v>2716459330</v>
      </c>
      <c r="NY7" s="187">
        <f t="shared" si="12"/>
        <v>3356124814</v>
      </c>
      <c r="NZ7" s="187">
        <f t="shared" si="13"/>
        <v>3956949778</v>
      </c>
      <c r="OA7" s="187">
        <f t="shared" si="14"/>
        <v>3711806970</v>
      </c>
      <c r="OB7" s="187">
        <f t="shared" si="15"/>
        <v>2734850071</v>
      </c>
      <c r="OC7" s="187">
        <f t="shared" si="16"/>
        <v>3767583203</v>
      </c>
      <c r="OD7" s="187">
        <f t="shared" si="17"/>
        <v>3670780846</v>
      </c>
      <c r="OE7" s="187">
        <f t="shared" si="18"/>
        <v>3404364661</v>
      </c>
      <c r="OF7" s="187">
        <f t="shared" si="19"/>
        <v>2176347313</v>
      </c>
      <c r="OG7" s="187">
        <f t="shared" si="20"/>
        <v>2613975839</v>
      </c>
      <c r="OH7" s="187">
        <f t="shared" si="21"/>
        <v>2503540600</v>
      </c>
      <c r="OI7" s="187">
        <f t="shared" si="22"/>
        <v>2486720288</v>
      </c>
      <c r="OJ7" s="187">
        <f t="shared" si="23"/>
        <v>37099503713</v>
      </c>
      <c r="OK7" s="187">
        <f t="shared" si="24"/>
        <v>10029533922</v>
      </c>
      <c r="OL7" s="187">
        <f t="shared" si="25"/>
        <v>10214240244</v>
      </c>
      <c r="OM7" s="187">
        <f t="shared" si="26"/>
        <v>9251492820</v>
      </c>
      <c r="ON7" s="187">
        <f t="shared" si="27"/>
        <v>7604236727</v>
      </c>
      <c r="OO7" s="187"/>
      <c r="OP7" s="83"/>
      <c r="OQ7" s="83">
        <v>68860066</v>
      </c>
      <c r="OR7" s="83">
        <v>54240221</v>
      </c>
      <c r="OS7" s="187"/>
      <c r="OT7" s="187">
        <v>37305716</v>
      </c>
      <c r="OU7" s="187">
        <v>131248361</v>
      </c>
      <c r="OV7" s="187">
        <v>95576409</v>
      </c>
      <c r="OW7" s="187">
        <v>13792087</v>
      </c>
      <c r="OX7" s="187">
        <v>91098506</v>
      </c>
      <c r="OY7" s="187">
        <v>39824005</v>
      </c>
      <c r="OZ7" s="187"/>
      <c r="PA7" s="187">
        <v>29187045</v>
      </c>
      <c r="PB7" s="187">
        <v>36178171</v>
      </c>
      <c r="PC7">
        <v>57360411</v>
      </c>
      <c r="PD7">
        <v>52347721</v>
      </c>
      <c r="PE7">
        <v>35276613</v>
      </c>
      <c r="PF7">
        <v>107015259</v>
      </c>
      <c r="PH7">
        <v>74469499</v>
      </c>
    </row>
    <row r="8" spans="2:770">
      <c r="B8" s="383" t="s">
        <v>41</v>
      </c>
      <c r="C8" s="369" t="s">
        <v>43</v>
      </c>
      <c r="D8" s="380"/>
      <c r="E8" s="380"/>
      <c r="F8" s="380"/>
      <c r="G8" s="380"/>
      <c r="H8" s="380"/>
      <c r="I8" s="380"/>
      <c r="J8" s="370">
        <f>SUM(D8:I8)</f>
        <v>0</v>
      </c>
      <c r="L8" s="199">
        <f t="shared" si="33"/>
        <v>6.86</v>
      </c>
      <c r="M8" s="235">
        <f>P41/10^3</f>
        <v>0.34300000000000003</v>
      </c>
      <c r="N8" s="234">
        <f t="shared" si="34"/>
        <v>0.05</v>
      </c>
      <c r="O8" s="228">
        <f t="shared" ca="1" si="35"/>
        <v>557.51423645454554</v>
      </c>
      <c r="P8" s="230" t="s">
        <v>9</v>
      </c>
      <c r="Q8" s="191">
        <v>6.1327066010000006</v>
      </c>
      <c r="R8" s="259">
        <f t="shared" si="10"/>
        <v>8.1530070249646366E-3</v>
      </c>
      <c r="S8" s="83">
        <v>0</v>
      </c>
      <c r="T8" s="83">
        <v>116903792</v>
      </c>
      <c r="U8" s="83">
        <v>94369364</v>
      </c>
      <c r="V8" s="83">
        <v>227411308</v>
      </c>
      <c r="W8" s="83">
        <v>33388365</v>
      </c>
      <c r="X8" s="83">
        <v>127088905</v>
      </c>
      <c r="Y8" s="83">
        <v>187585734</v>
      </c>
      <c r="Z8" s="83">
        <v>147159058</v>
      </c>
      <c r="AA8" s="83">
        <v>123630315</v>
      </c>
      <c r="AB8" s="83">
        <v>134627219</v>
      </c>
      <c r="AC8" s="83">
        <v>244672800</v>
      </c>
      <c r="AD8" s="87">
        <v>43743627</v>
      </c>
      <c r="AE8" s="83">
        <v>214966232</v>
      </c>
      <c r="AF8" s="83">
        <v>168356515</v>
      </c>
      <c r="AG8" s="83">
        <v>149309483</v>
      </c>
      <c r="AH8" s="83">
        <v>79773678</v>
      </c>
      <c r="AI8" s="83">
        <v>152709920</v>
      </c>
      <c r="AJ8" s="83">
        <v>259876737</v>
      </c>
      <c r="AK8" s="83">
        <v>37963913</v>
      </c>
      <c r="AL8" s="87">
        <v>132100990</v>
      </c>
      <c r="AM8" s="83">
        <v>207238819</v>
      </c>
      <c r="AN8" s="83">
        <v>162914691</v>
      </c>
      <c r="AO8" s="83">
        <v>154311088</v>
      </c>
      <c r="AP8" s="83">
        <v>146444919</v>
      </c>
      <c r="AQ8" s="83">
        <v>133493445</v>
      </c>
      <c r="AR8" s="83">
        <v>0</v>
      </c>
      <c r="AS8" s="83">
        <v>0</v>
      </c>
      <c r="AT8" s="83">
        <v>0</v>
      </c>
      <c r="AU8" s="83">
        <v>0</v>
      </c>
      <c r="AV8" s="83">
        <v>0</v>
      </c>
      <c r="AW8" s="88">
        <v>0</v>
      </c>
      <c r="AX8" s="83">
        <v>0</v>
      </c>
      <c r="AY8" s="83">
        <v>0</v>
      </c>
      <c r="AZ8" s="83">
        <v>97303348</v>
      </c>
      <c r="BA8" s="83">
        <v>188216903</v>
      </c>
      <c r="BB8" s="83">
        <v>122565281</v>
      </c>
      <c r="BC8" s="83">
        <v>61616143</v>
      </c>
      <c r="BD8" s="83">
        <v>261774616</v>
      </c>
      <c r="BE8" s="83">
        <v>351726309</v>
      </c>
      <c r="BF8" s="83">
        <v>71867905</v>
      </c>
      <c r="BG8" s="83">
        <v>141072951</v>
      </c>
      <c r="BH8" s="83">
        <v>269355878</v>
      </c>
      <c r="BI8" s="83">
        <v>224404097</v>
      </c>
      <c r="BJ8" s="83">
        <v>139977313</v>
      </c>
      <c r="BK8" s="83">
        <v>243737364</v>
      </c>
      <c r="BL8" s="83">
        <v>356646509</v>
      </c>
      <c r="BM8" s="83">
        <v>30019921</v>
      </c>
      <c r="BN8" s="83">
        <v>232582160</v>
      </c>
      <c r="BO8" s="83">
        <v>188389944</v>
      </c>
      <c r="BP8" s="83">
        <v>156757377</v>
      </c>
      <c r="BQ8" s="83">
        <v>149151618</v>
      </c>
      <c r="BR8" s="83">
        <v>163589716</v>
      </c>
      <c r="BS8" s="83">
        <v>289221939</v>
      </c>
      <c r="BT8" s="83">
        <v>52406567</v>
      </c>
      <c r="BU8" s="83">
        <v>201415256</v>
      </c>
      <c r="BV8" s="83">
        <v>203277826</v>
      </c>
      <c r="BW8" s="83">
        <v>139895217</v>
      </c>
      <c r="BX8" s="83">
        <v>111469124</v>
      </c>
      <c r="BY8" s="83">
        <v>161568841</v>
      </c>
      <c r="BZ8" s="83">
        <v>275725605</v>
      </c>
      <c r="CA8" s="83">
        <v>49511213</v>
      </c>
      <c r="CB8" s="83">
        <v>142690057</v>
      </c>
      <c r="CC8" s="83">
        <v>177561708</v>
      </c>
      <c r="CD8" s="83">
        <v>122147127</v>
      </c>
      <c r="CE8" s="83">
        <v>152813803</v>
      </c>
      <c r="CF8" s="83">
        <v>122996360</v>
      </c>
      <c r="CG8" s="83">
        <v>391835658</v>
      </c>
      <c r="CH8" s="83">
        <v>34560661</v>
      </c>
      <c r="CI8" s="83">
        <v>155554812</v>
      </c>
      <c r="CJ8" s="83">
        <v>202856013</v>
      </c>
      <c r="CK8" s="87">
        <v>229585359</v>
      </c>
      <c r="CL8" s="83">
        <v>108769323</v>
      </c>
      <c r="CM8" s="83">
        <v>161892207</v>
      </c>
      <c r="CN8" s="83">
        <v>279709520</v>
      </c>
      <c r="CO8" s="83">
        <v>43232730</v>
      </c>
      <c r="CP8" s="83">
        <v>162277039</v>
      </c>
      <c r="CQ8" s="83">
        <v>146229873</v>
      </c>
      <c r="CR8" s="83">
        <v>149501872</v>
      </c>
      <c r="CS8" s="87">
        <v>162721610</v>
      </c>
      <c r="CT8" s="83">
        <v>189649280</v>
      </c>
      <c r="CU8" s="83">
        <v>240112278</v>
      </c>
      <c r="CV8" s="83">
        <v>65463234</v>
      </c>
      <c r="CW8" s="83">
        <v>173648326</v>
      </c>
      <c r="CX8" s="83">
        <v>197628689</v>
      </c>
      <c r="CY8" s="83">
        <v>83074511</v>
      </c>
      <c r="CZ8" s="83">
        <v>176067224</v>
      </c>
      <c r="DA8" s="83">
        <v>246275786</v>
      </c>
      <c r="DB8" s="83">
        <v>228598960</v>
      </c>
      <c r="DC8" s="83">
        <v>32786813</v>
      </c>
      <c r="DD8" s="87">
        <v>192729644</v>
      </c>
      <c r="DE8" s="83">
        <v>203232538</v>
      </c>
      <c r="DF8" s="83">
        <v>113459937</v>
      </c>
      <c r="DG8" s="83">
        <v>113110375</v>
      </c>
      <c r="DH8" s="83">
        <v>289970593</v>
      </c>
      <c r="DI8" s="83">
        <v>215014468</v>
      </c>
      <c r="DJ8" s="83">
        <v>30768967</v>
      </c>
      <c r="DK8" s="137">
        <v>0</v>
      </c>
      <c r="DL8" s="83">
        <v>178695704</v>
      </c>
      <c r="DM8" s="83">
        <v>147920727</v>
      </c>
      <c r="DN8" s="83">
        <v>133747664</v>
      </c>
      <c r="DO8" s="83">
        <v>136064718</v>
      </c>
      <c r="DP8" s="83">
        <v>296115749</v>
      </c>
      <c r="DQ8" s="83">
        <v>37536841</v>
      </c>
      <c r="DR8" s="83">
        <v>136000980</v>
      </c>
      <c r="DS8" s="83">
        <v>184239654</v>
      </c>
      <c r="DT8" s="83">
        <v>190207471</v>
      </c>
      <c r="DU8" s="83">
        <v>172777965</v>
      </c>
      <c r="DV8" s="83">
        <v>199592658</v>
      </c>
      <c r="DW8" s="83">
        <v>275138951</v>
      </c>
      <c r="DX8" s="83">
        <v>40142199</v>
      </c>
      <c r="DY8" s="83">
        <v>187152062</v>
      </c>
      <c r="DZ8" s="83">
        <v>209086587</v>
      </c>
      <c r="EA8" s="83">
        <v>199388340</v>
      </c>
      <c r="EB8" s="83">
        <v>170299641</v>
      </c>
      <c r="EC8" s="83">
        <v>140794389</v>
      </c>
      <c r="ED8" s="83">
        <v>205817791</v>
      </c>
      <c r="EE8" s="83">
        <v>31671019</v>
      </c>
      <c r="EF8" s="83">
        <v>124726458</v>
      </c>
      <c r="EG8" s="83">
        <v>157220875</v>
      </c>
      <c r="EH8" s="137">
        <v>0</v>
      </c>
      <c r="EI8" s="137">
        <v>0</v>
      </c>
      <c r="EJ8" s="83">
        <v>116016455</v>
      </c>
      <c r="EK8" s="83">
        <v>216379523</v>
      </c>
      <c r="EL8" s="83">
        <v>63085473</v>
      </c>
      <c r="EM8" s="83">
        <v>192650767</v>
      </c>
      <c r="EN8" s="83">
        <v>206157391</v>
      </c>
      <c r="EO8" s="83">
        <v>119022959</v>
      </c>
      <c r="EP8" s="83">
        <v>132138446</v>
      </c>
      <c r="EQ8" s="83">
        <v>127252204</v>
      </c>
      <c r="ER8" s="83">
        <v>227199417</v>
      </c>
      <c r="ES8" s="83">
        <v>48919704</v>
      </c>
      <c r="ET8" s="83">
        <v>179769207</v>
      </c>
      <c r="EU8" s="83">
        <v>295021062</v>
      </c>
      <c r="EV8" s="83">
        <v>141148674</v>
      </c>
      <c r="EW8" s="83">
        <v>133659378</v>
      </c>
      <c r="EX8" s="83">
        <v>221768246</v>
      </c>
      <c r="EY8" s="83">
        <v>310163716</v>
      </c>
      <c r="EZ8" s="83">
        <v>46487788</v>
      </c>
      <c r="FA8" s="83">
        <v>180929324</v>
      </c>
      <c r="FB8" s="83">
        <v>151407464</v>
      </c>
      <c r="FC8" s="83">
        <v>186398378</v>
      </c>
      <c r="FD8" s="83">
        <v>112635588</v>
      </c>
      <c r="FE8" s="83">
        <v>154494934</v>
      </c>
      <c r="FF8" s="83">
        <v>299246892</v>
      </c>
      <c r="FG8" s="83">
        <v>63436388</v>
      </c>
      <c r="FH8" s="83">
        <v>173623325</v>
      </c>
      <c r="FI8" s="83">
        <v>176317574</v>
      </c>
      <c r="FJ8" s="83">
        <v>139727606</v>
      </c>
      <c r="FK8" s="83">
        <v>145730408</v>
      </c>
      <c r="FL8" s="187">
        <v>183813143</v>
      </c>
      <c r="FM8" s="187">
        <v>300541955</v>
      </c>
      <c r="FN8" s="83">
        <v>40062105</v>
      </c>
      <c r="FO8" s="83">
        <v>249445599</v>
      </c>
      <c r="FP8" s="83">
        <v>194345211</v>
      </c>
      <c r="FQ8" s="83">
        <v>154791017</v>
      </c>
      <c r="FR8" s="83">
        <v>231350422</v>
      </c>
      <c r="FS8" s="83">
        <v>151066890</v>
      </c>
      <c r="FT8" s="83">
        <v>207082464</v>
      </c>
      <c r="FU8" s="83">
        <v>40002508</v>
      </c>
      <c r="FV8" s="83">
        <v>218740502</v>
      </c>
      <c r="FW8" s="83">
        <v>164576357</v>
      </c>
      <c r="FX8" s="83">
        <v>139847027</v>
      </c>
      <c r="FY8" s="83">
        <v>109917900</v>
      </c>
      <c r="FZ8" s="83">
        <v>177173256</v>
      </c>
      <c r="GA8" s="83">
        <v>244072017</v>
      </c>
      <c r="GB8" s="83">
        <v>60430469</v>
      </c>
      <c r="GC8" s="83">
        <v>154284597</v>
      </c>
      <c r="GD8" s="83">
        <v>234466625</v>
      </c>
      <c r="GE8" s="83">
        <v>135100720</v>
      </c>
      <c r="GF8" s="83">
        <v>160056474</v>
      </c>
      <c r="GG8" s="83">
        <v>179178236</v>
      </c>
      <c r="GH8" s="83">
        <v>293000963</v>
      </c>
      <c r="GI8" s="83">
        <v>58730407</v>
      </c>
      <c r="GJ8" s="187">
        <v>255066105</v>
      </c>
      <c r="GK8" s="187">
        <v>195854466</v>
      </c>
      <c r="GL8" s="187">
        <v>104960826</v>
      </c>
      <c r="GM8" s="187">
        <v>161049352</v>
      </c>
      <c r="GN8" s="187">
        <v>130222503</v>
      </c>
      <c r="GO8" s="187">
        <v>215974639</v>
      </c>
      <c r="GP8" s="187">
        <v>64123942</v>
      </c>
      <c r="GQ8" s="187">
        <v>159570884</v>
      </c>
      <c r="GR8" s="83">
        <v>161152254</v>
      </c>
      <c r="GS8" s="83">
        <v>134678922</v>
      </c>
      <c r="GT8" s="83">
        <v>118798944</v>
      </c>
      <c r="GU8" s="83">
        <v>139767633</v>
      </c>
      <c r="GV8" s="83">
        <v>256662337</v>
      </c>
      <c r="GW8" s="83">
        <v>62635577</v>
      </c>
      <c r="GX8" s="83">
        <v>163263725</v>
      </c>
      <c r="GY8" s="83">
        <v>203390887</v>
      </c>
      <c r="GZ8" s="83">
        <v>116487504</v>
      </c>
      <c r="HA8" s="83">
        <v>215718076</v>
      </c>
      <c r="HB8" s="83">
        <v>135692870</v>
      </c>
      <c r="HC8" s="83">
        <v>296811693</v>
      </c>
      <c r="HD8" s="83">
        <v>29382730</v>
      </c>
      <c r="HE8" s="83">
        <v>163593522</v>
      </c>
      <c r="HF8" s="83">
        <v>196301424</v>
      </c>
      <c r="HG8" s="83">
        <v>124504471</v>
      </c>
      <c r="HH8" s="83">
        <v>167197847</v>
      </c>
      <c r="HI8" s="83">
        <v>218918693</v>
      </c>
      <c r="HJ8" s="83">
        <v>207076959</v>
      </c>
      <c r="HK8" s="83">
        <v>76261510</v>
      </c>
      <c r="HL8" s="83">
        <v>144127762</v>
      </c>
      <c r="HM8" s="83">
        <v>173261934</v>
      </c>
      <c r="HN8" s="83">
        <v>149827553</v>
      </c>
      <c r="HO8" s="83">
        <v>167820819</v>
      </c>
      <c r="HP8" s="83">
        <v>152128140</v>
      </c>
      <c r="HQ8" s="83">
        <v>262767386</v>
      </c>
      <c r="HR8" s="83">
        <v>44479449</v>
      </c>
      <c r="HS8" s="83">
        <v>122227445</v>
      </c>
      <c r="HT8" s="83">
        <v>192252479</v>
      </c>
      <c r="HU8" s="83">
        <v>143056951</v>
      </c>
      <c r="HV8" s="187">
        <v>159137616</v>
      </c>
      <c r="HW8" s="83">
        <v>214077420</v>
      </c>
      <c r="HX8" s="187">
        <v>286573269</v>
      </c>
      <c r="HY8" s="83">
        <v>4596329</v>
      </c>
      <c r="HZ8" s="187">
        <v>192601842</v>
      </c>
      <c r="IA8" s="83">
        <v>201445505</v>
      </c>
      <c r="IB8" s="187">
        <v>224049325</v>
      </c>
      <c r="IC8" s="83">
        <v>208047240</v>
      </c>
      <c r="ID8" s="187">
        <v>174627045</v>
      </c>
      <c r="IE8" s="83">
        <v>120329946</v>
      </c>
      <c r="IF8" s="187">
        <v>36057170</v>
      </c>
      <c r="IG8" s="83">
        <v>195307891</v>
      </c>
      <c r="IH8" s="187">
        <v>204236745</v>
      </c>
      <c r="II8" s="83">
        <v>128691564</v>
      </c>
      <c r="IJ8" s="187">
        <v>128691564</v>
      </c>
      <c r="IK8" s="83">
        <v>128691564</v>
      </c>
      <c r="IL8" s="187">
        <v>0</v>
      </c>
      <c r="IM8" s="83">
        <v>0</v>
      </c>
      <c r="IN8" s="187">
        <v>128691564</v>
      </c>
      <c r="IO8" s="83">
        <v>128691564</v>
      </c>
      <c r="IP8" s="187">
        <v>128691564</v>
      </c>
      <c r="IQ8" s="83">
        <v>128691564</v>
      </c>
      <c r="IR8" s="187">
        <v>128691564</v>
      </c>
      <c r="IS8" s="83">
        <v>0</v>
      </c>
      <c r="IT8" s="187">
        <v>0</v>
      </c>
      <c r="IU8" s="83">
        <v>128691564</v>
      </c>
      <c r="IV8" s="187">
        <v>128691564</v>
      </c>
      <c r="IW8" s="83">
        <v>128691564</v>
      </c>
      <c r="IX8" s="187">
        <v>128691564</v>
      </c>
      <c r="IY8" s="83">
        <v>128691564</v>
      </c>
      <c r="IZ8" s="187">
        <v>0</v>
      </c>
      <c r="JA8" s="83">
        <v>0</v>
      </c>
      <c r="JB8" s="187">
        <v>227401627</v>
      </c>
      <c r="JC8" s="83">
        <v>0</v>
      </c>
      <c r="JD8" s="187">
        <v>0</v>
      </c>
      <c r="JE8" s="83">
        <v>227401627</v>
      </c>
      <c r="JF8" s="187">
        <v>227401627</v>
      </c>
      <c r="JG8" s="83">
        <v>0</v>
      </c>
      <c r="JH8" s="187">
        <v>0</v>
      </c>
      <c r="JI8" s="83">
        <v>227401627</v>
      </c>
      <c r="JJ8" s="187">
        <v>227401627</v>
      </c>
      <c r="JK8" s="83">
        <v>227401627</v>
      </c>
      <c r="JL8" s="187">
        <v>227401627</v>
      </c>
      <c r="JM8" s="83">
        <v>227401627</v>
      </c>
      <c r="JN8" s="187">
        <v>0</v>
      </c>
      <c r="JO8" s="83">
        <v>0</v>
      </c>
      <c r="JP8" s="187">
        <v>227401627</v>
      </c>
      <c r="JQ8" s="83">
        <v>227401627</v>
      </c>
      <c r="JR8" s="187">
        <v>227401627</v>
      </c>
      <c r="JS8" s="83">
        <v>227401627</v>
      </c>
      <c r="JT8" s="187">
        <v>227401627</v>
      </c>
      <c r="JU8" s="83">
        <v>0</v>
      </c>
      <c r="JV8" s="187">
        <v>0</v>
      </c>
      <c r="JW8" s="83">
        <v>227401627</v>
      </c>
      <c r="JX8" s="187">
        <v>227401627</v>
      </c>
      <c r="JY8" s="83">
        <v>227401627</v>
      </c>
      <c r="JZ8" s="83">
        <v>227401627</v>
      </c>
      <c r="KA8" s="83">
        <v>227401627</v>
      </c>
      <c r="KB8" s="187">
        <v>0</v>
      </c>
      <c r="KC8" s="83">
        <v>0</v>
      </c>
      <c r="KD8" s="187">
        <v>227401627</v>
      </c>
      <c r="KE8" s="83">
        <v>227401627</v>
      </c>
      <c r="KF8" s="83">
        <v>217713962</v>
      </c>
      <c r="KG8" s="83">
        <v>217713962</v>
      </c>
      <c r="KH8" s="83">
        <v>217713962</v>
      </c>
      <c r="KI8" s="137">
        <v>0</v>
      </c>
      <c r="KJ8" s="137">
        <v>0</v>
      </c>
      <c r="KK8" s="83">
        <v>217713962</v>
      </c>
      <c r="KL8" s="83">
        <v>217713962</v>
      </c>
      <c r="KM8" s="83">
        <v>217713962</v>
      </c>
      <c r="KN8" s="83">
        <v>217713962</v>
      </c>
      <c r="KO8" s="83">
        <v>217713962</v>
      </c>
      <c r="KP8" s="137">
        <v>0</v>
      </c>
      <c r="KQ8" s="137">
        <v>0</v>
      </c>
      <c r="KR8" s="83">
        <v>217713962</v>
      </c>
      <c r="KS8" s="83">
        <v>217713962</v>
      </c>
      <c r="KT8" s="83">
        <v>217713962</v>
      </c>
      <c r="KU8" s="83">
        <v>217713962</v>
      </c>
      <c r="KV8" s="83">
        <v>217713962</v>
      </c>
      <c r="KW8" s="137">
        <v>0</v>
      </c>
      <c r="KX8" s="137">
        <v>0</v>
      </c>
      <c r="KY8" s="83">
        <v>217713962</v>
      </c>
      <c r="KZ8" s="83">
        <v>217713962</v>
      </c>
      <c r="LA8" s="83">
        <v>217713962</v>
      </c>
      <c r="LB8" s="83">
        <v>217713962</v>
      </c>
      <c r="LC8" s="83">
        <v>217713962</v>
      </c>
      <c r="LD8" s="137">
        <v>0</v>
      </c>
      <c r="LE8" s="137">
        <v>0</v>
      </c>
      <c r="LF8" s="83">
        <v>217713962</v>
      </c>
      <c r="LG8" s="83">
        <v>217713962</v>
      </c>
      <c r="LH8" s="83">
        <v>217713962</v>
      </c>
      <c r="LI8" s="83">
        <v>217713962</v>
      </c>
      <c r="LJ8" s="83">
        <v>217713962</v>
      </c>
      <c r="LK8" s="83">
        <v>0</v>
      </c>
      <c r="LL8" s="137">
        <v>0</v>
      </c>
      <c r="LM8" s="83">
        <v>257172073</v>
      </c>
      <c r="LN8" s="83">
        <v>257172073</v>
      </c>
      <c r="LO8" s="83">
        <v>257172073</v>
      </c>
      <c r="LP8" s="83">
        <v>257172073</v>
      </c>
      <c r="LQ8" s="83">
        <v>257172073</v>
      </c>
      <c r="LR8" s="137">
        <v>0</v>
      </c>
      <c r="LS8" s="137">
        <v>0</v>
      </c>
      <c r="LT8" s="83">
        <v>257172073</v>
      </c>
      <c r="LU8" s="83">
        <v>257172073</v>
      </c>
      <c r="LV8" s="83">
        <v>257172073</v>
      </c>
      <c r="LW8" s="83">
        <v>257172073</v>
      </c>
      <c r="LX8" s="83">
        <v>257172073</v>
      </c>
      <c r="LY8" s="83">
        <v>0</v>
      </c>
      <c r="LZ8" s="83">
        <v>0</v>
      </c>
      <c r="MA8" s="83">
        <v>257172073</v>
      </c>
      <c r="MB8" s="83">
        <v>257172073</v>
      </c>
      <c r="MC8" s="83">
        <v>257172073</v>
      </c>
      <c r="MD8" s="83">
        <v>257172073</v>
      </c>
      <c r="ME8" s="83">
        <v>257172073</v>
      </c>
      <c r="MF8" s="83">
        <v>0</v>
      </c>
      <c r="MG8" s="83">
        <v>0</v>
      </c>
      <c r="MH8" s="83">
        <v>257172073</v>
      </c>
      <c r="MI8" s="83">
        <v>257172073</v>
      </c>
      <c r="MJ8" s="83">
        <v>257172073</v>
      </c>
      <c r="MK8" s="83">
        <v>257172073</v>
      </c>
      <c r="ML8" s="83">
        <v>257172073</v>
      </c>
      <c r="MM8" s="83">
        <v>0</v>
      </c>
      <c r="MN8" s="83">
        <v>0</v>
      </c>
      <c r="MO8" s="83">
        <v>0</v>
      </c>
      <c r="MP8" s="137">
        <v>0</v>
      </c>
      <c r="MQ8" s="137">
        <v>0</v>
      </c>
      <c r="MR8" s="137">
        <v>0</v>
      </c>
      <c r="MS8" s="137">
        <v>0</v>
      </c>
      <c r="MT8" s="137">
        <v>0</v>
      </c>
      <c r="MU8" s="137">
        <v>0</v>
      </c>
      <c r="MV8" s="137">
        <v>0</v>
      </c>
      <c r="MW8" s="137">
        <v>0</v>
      </c>
      <c r="MX8" s="137">
        <v>0</v>
      </c>
      <c r="MY8" s="137">
        <v>0</v>
      </c>
      <c r="MZ8" s="83">
        <v>0</v>
      </c>
      <c r="NA8" s="83">
        <v>0</v>
      </c>
      <c r="NB8" s="83">
        <v>0</v>
      </c>
      <c r="NC8" s="83">
        <v>0</v>
      </c>
      <c r="ND8" s="83">
        <v>0</v>
      </c>
      <c r="NE8" s="83">
        <v>0</v>
      </c>
      <c r="NF8" s="83">
        <v>0</v>
      </c>
      <c r="NG8" s="83">
        <v>0</v>
      </c>
      <c r="NH8" s="83">
        <v>0</v>
      </c>
      <c r="NI8" s="83">
        <v>0</v>
      </c>
      <c r="NJ8" s="83">
        <v>0</v>
      </c>
      <c r="NK8" s="83">
        <v>0</v>
      </c>
      <c r="NL8" s="83">
        <v>0</v>
      </c>
      <c r="NM8" s="83">
        <v>0</v>
      </c>
      <c r="NN8" s="83">
        <v>0</v>
      </c>
      <c r="NO8" s="83">
        <v>0</v>
      </c>
      <c r="NP8" s="83">
        <v>0</v>
      </c>
      <c r="NQ8" s="83">
        <v>0</v>
      </c>
      <c r="NR8" s="83">
        <v>0</v>
      </c>
      <c r="NS8" s="83">
        <v>0</v>
      </c>
      <c r="NW8" s="230" t="s">
        <v>8</v>
      </c>
      <c r="NX8" s="187">
        <f t="shared" si="11"/>
        <v>3480040917</v>
      </c>
      <c r="NY8" s="187">
        <f t="shared" si="12"/>
        <v>4610010123</v>
      </c>
      <c r="NZ8" s="187">
        <f t="shared" si="13"/>
        <v>5098207295</v>
      </c>
      <c r="OA8" s="187">
        <f t="shared" si="14"/>
        <v>4519895321</v>
      </c>
      <c r="OB8" s="187">
        <f t="shared" si="15"/>
        <v>5045143389</v>
      </c>
      <c r="OC8" s="187">
        <f t="shared" si="16"/>
        <v>4884544483</v>
      </c>
      <c r="OD8" s="187">
        <f t="shared" si="17"/>
        <v>4899385112</v>
      </c>
      <c r="OE8" s="187">
        <f t="shared" si="18"/>
        <v>3734940059</v>
      </c>
      <c r="OF8" s="187">
        <f t="shared" si="19"/>
        <v>4548032540</v>
      </c>
      <c r="OG8" s="187">
        <f t="shared" si="20"/>
        <v>5007421126</v>
      </c>
      <c r="OH8" s="187">
        <f t="shared" si="21"/>
        <v>5143441460</v>
      </c>
      <c r="OI8" s="187">
        <f t="shared" si="22"/>
        <v>0</v>
      </c>
      <c r="OJ8" s="187">
        <f t="shared" si="23"/>
        <v>50971061825</v>
      </c>
      <c r="OK8" s="187">
        <f t="shared" si="24"/>
        <v>13188258335</v>
      </c>
      <c r="OL8" s="187">
        <f t="shared" si="25"/>
        <v>14449583193</v>
      </c>
      <c r="OM8" s="187">
        <f t="shared" si="26"/>
        <v>13182357711</v>
      </c>
      <c r="ON8" s="187">
        <f t="shared" si="27"/>
        <v>10150862586</v>
      </c>
      <c r="OO8" s="187"/>
      <c r="OP8" s="83">
        <v>50000000</v>
      </c>
      <c r="OQ8" s="83"/>
      <c r="OR8" s="83"/>
      <c r="OS8" s="187"/>
      <c r="OT8" s="187"/>
      <c r="OU8" s="187"/>
      <c r="OV8" s="187"/>
      <c r="OW8" s="187"/>
      <c r="OX8" s="187"/>
      <c r="OY8" s="187"/>
      <c r="OZ8" s="187"/>
      <c r="PA8" s="187"/>
      <c r="PB8" s="187"/>
    </row>
    <row r="9" spans="2:770">
      <c r="B9" s="378" t="s">
        <v>41</v>
      </c>
      <c r="C9" s="365" t="s">
        <v>44</v>
      </c>
      <c r="D9" s="381"/>
      <c r="E9" s="377"/>
      <c r="F9" s="382"/>
      <c r="G9" s="377"/>
      <c r="H9" s="377"/>
      <c r="I9" s="377"/>
      <c r="J9" s="262">
        <f>SUM(D9:I9)</f>
        <v>0</v>
      </c>
      <c r="L9" s="199">
        <f>M9/(N8+N9)</f>
        <v>0.30244398359798863</v>
      </c>
      <c r="M9" s="235">
        <f>G4/10^3</f>
        <v>5.9950000000000001</v>
      </c>
      <c r="N9" s="234">
        <f t="shared" si="34"/>
        <v>19.771852392900001</v>
      </c>
      <c r="O9" s="228">
        <f t="shared" ca="1" si="35"/>
        <v>3797.9224972370098</v>
      </c>
      <c r="P9" s="230" t="s">
        <v>8</v>
      </c>
      <c r="Q9" s="191">
        <v>41.796919322000008</v>
      </c>
      <c r="R9" s="259">
        <f t="shared" si="10"/>
        <v>0.47304568646744721</v>
      </c>
      <c r="S9" s="83">
        <v>296037543</v>
      </c>
      <c r="T9" s="83">
        <v>1560591209</v>
      </c>
      <c r="U9" s="83">
        <v>1176778498</v>
      </c>
      <c r="V9" s="83">
        <v>1111046014</v>
      </c>
      <c r="W9" s="83">
        <v>438411528</v>
      </c>
      <c r="X9" s="83">
        <v>1485306668</v>
      </c>
      <c r="Y9" s="83">
        <v>1036447698</v>
      </c>
      <c r="Z9" s="83">
        <v>1102991512</v>
      </c>
      <c r="AA9" s="83">
        <v>954359736</v>
      </c>
      <c r="AB9" s="83">
        <v>1166725792</v>
      </c>
      <c r="AC9" s="83">
        <v>1336340483</v>
      </c>
      <c r="AD9" s="87">
        <v>284530184</v>
      </c>
      <c r="AE9" s="83">
        <v>928460800</v>
      </c>
      <c r="AF9" s="83">
        <v>1029427788</v>
      </c>
      <c r="AG9" s="83">
        <v>837073021</v>
      </c>
      <c r="AH9" s="83">
        <v>964647895</v>
      </c>
      <c r="AI9" s="83">
        <v>1188807080</v>
      </c>
      <c r="AJ9" s="83">
        <v>1272320373</v>
      </c>
      <c r="AK9" s="83">
        <v>396722581</v>
      </c>
      <c r="AL9" s="87">
        <v>1018281626</v>
      </c>
      <c r="AM9" s="83">
        <v>811637098</v>
      </c>
      <c r="AN9" s="83">
        <v>779258134</v>
      </c>
      <c r="AO9" s="83">
        <v>1140282490</v>
      </c>
      <c r="AP9" s="83">
        <v>1120556414</v>
      </c>
      <c r="AQ9" s="83">
        <v>1095428305</v>
      </c>
      <c r="AR9" s="83">
        <v>424900510</v>
      </c>
      <c r="AS9" s="83">
        <v>624723234</v>
      </c>
      <c r="AT9" s="83">
        <v>515530774</v>
      </c>
      <c r="AU9" s="83">
        <v>204647368</v>
      </c>
      <c r="AV9" s="83">
        <v>303407457</v>
      </c>
      <c r="AW9" s="87">
        <v>304551548</v>
      </c>
      <c r="AX9" s="83">
        <v>210426782</v>
      </c>
      <c r="AY9" s="83">
        <v>242108114</v>
      </c>
      <c r="AZ9" s="83">
        <v>861652136</v>
      </c>
      <c r="BA9" s="83">
        <v>781023616</v>
      </c>
      <c r="BB9" s="83">
        <v>821192222</v>
      </c>
      <c r="BC9" s="83">
        <v>764319232</v>
      </c>
      <c r="BD9" s="83">
        <v>998373670</v>
      </c>
      <c r="BE9" s="83">
        <v>1126196338</v>
      </c>
      <c r="BF9" s="83">
        <v>260957417</v>
      </c>
      <c r="BG9" s="83">
        <v>1128844895</v>
      </c>
      <c r="BH9" s="83">
        <v>686190432</v>
      </c>
      <c r="BI9" s="83">
        <v>600712793</v>
      </c>
      <c r="BJ9" s="83">
        <v>694354946</v>
      </c>
      <c r="BK9" s="83">
        <v>772460489</v>
      </c>
      <c r="BL9" s="83">
        <v>1130901987</v>
      </c>
      <c r="BM9" s="83">
        <v>250640141</v>
      </c>
      <c r="BN9" s="83">
        <v>1404546747</v>
      </c>
      <c r="BO9" s="83">
        <v>1165387943</v>
      </c>
      <c r="BP9" s="83">
        <v>1367923716</v>
      </c>
      <c r="BQ9" s="83">
        <v>982312588</v>
      </c>
      <c r="BR9" s="83">
        <v>888443896</v>
      </c>
      <c r="BS9" s="83">
        <v>1200605501</v>
      </c>
      <c r="BT9" s="83">
        <v>260771839</v>
      </c>
      <c r="BU9" s="83">
        <v>1837558458</v>
      </c>
      <c r="BV9" s="83">
        <v>1300649528</v>
      </c>
      <c r="BW9" s="83">
        <v>1045721259</v>
      </c>
      <c r="BX9" s="83">
        <v>958000682</v>
      </c>
      <c r="BY9" s="83">
        <v>1074352874</v>
      </c>
      <c r="BZ9" s="83">
        <v>1152874480</v>
      </c>
      <c r="CA9" s="83">
        <v>225415010</v>
      </c>
      <c r="CB9" s="83">
        <v>1765552506</v>
      </c>
      <c r="CC9" s="83">
        <v>1129874513</v>
      </c>
      <c r="CD9" s="83">
        <v>861133519</v>
      </c>
      <c r="CE9" s="83">
        <v>1039374137</v>
      </c>
      <c r="CF9" s="83">
        <v>1566907085</v>
      </c>
      <c r="CG9" s="83">
        <v>1310462284</v>
      </c>
      <c r="CH9" s="83">
        <v>209672256</v>
      </c>
      <c r="CI9" s="83">
        <v>1465167909</v>
      </c>
      <c r="CJ9" s="83">
        <v>1432893355</v>
      </c>
      <c r="CK9" s="87">
        <v>1136419241</v>
      </c>
      <c r="CL9" s="83">
        <v>801598594</v>
      </c>
      <c r="CM9" s="83">
        <v>1131635685</v>
      </c>
      <c r="CN9" s="83">
        <v>1135790590</v>
      </c>
      <c r="CO9" s="83">
        <v>274078502</v>
      </c>
      <c r="CP9" s="83">
        <v>1214682754</v>
      </c>
      <c r="CQ9" s="83">
        <v>1124725582</v>
      </c>
      <c r="CR9" s="83">
        <v>1395936692</v>
      </c>
      <c r="CS9" s="87">
        <v>1154668714</v>
      </c>
      <c r="CT9" s="83">
        <v>1153935619</v>
      </c>
      <c r="CU9" s="83">
        <v>1195715708</v>
      </c>
      <c r="CV9" s="83">
        <v>245382177</v>
      </c>
      <c r="CW9" s="83">
        <v>1347453467</v>
      </c>
      <c r="CX9" s="83">
        <v>873386462</v>
      </c>
      <c r="CY9" s="83">
        <v>1103573417</v>
      </c>
      <c r="CZ9" s="83">
        <v>1200901397</v>
      </c>
      <c r="DA9" s="83">
        <v>867908958</v>
      </c>
      <c r="DB9" s="83">
        <v>1429679921</v>
      </c>
      <c r="DC9" s="83">
        <v>309951255</v>
      </c>
      <c r="DD9" s="87">
        <v>1235169173</v>
      </c>
      <c r="DE9" s="83">
        <v>753290776</v>
      </c>
      <c r="DF9" s="83">
        <v>781790971</v>
      </c>
      <c r="DG9" s="83">
        <v>1141137229</v>
      </c>
      <c r="DH9" s="83">
        <v>1298108307</v>
      </c>
      <c r="DI9" s="83">
        <v>1191249302</v>
      </c>
      <c r="DJ9" s="83">
        <v>251408064</v>
      </c>
      <c r="DK9" s="83">
        <v>233746148</v>
      </c>
      <c r="DL9" s="83">
        <v>1645803547</v>
      </c>
      <c r="DM9" s="83">
        <v>1074810386</v>
      </c>
      <c r="DN9" s="83">
        <v>972826479</v>
      </c>
      <c r="DO9" s="83">
        <v>1242832154</v>
      </c>
      <c r="DP9" s="83">
        <v>1443878556</v>
      </c>
      <c r="DQ9" s="83">
        <v>216079511</v>
      </c>
      <c r="DR9" s="83">
        <v>1281185531</v>
      </c>
      <c r="DS9" s="83">
        <v>1268142675</v>
      </c>
      <c r="DT9" s="83">
        <v>1027021254</v>
      </c>
      <c r="DU9" s="83">
        <v>985126556</v>
      </c>
      <c r="DV9" s="83">
        <v>1325476868</v>
      </c>
      <c r="DW9" s="83">
        <v>1241385400</v>
      </c>
      <c r="DX9" s="83">
        <v>214664410</v>
      </c>
      <c r="DY9" s="83">
        <v>967196797</v>
      </c>
      <c r="DZ9" s="83">
        <v>877781047</v>
      </c>
      <c r="EA9" s="83">
        <v>964263561</v>
      </c>
      <c r="EB9" s="83">
        <v>1008854733</v>
      </c>
      <c r="EC9" s="83">
        <v>1140688985</v>
      </c>
      <c r="ED9" s="83">
        <v>1191098902</v>
      </c>
      <c r="EE9" s="83">
        <v>338086997</v>
      </c>
      <c r="EF9" s="83">
        <v>1507400729</v>
      </c>
      <c r="EG9" s="83">
        <v>1221089016</v>
      </c>
      <c r="EH9" s="83">
        <v>223982116</v>
      </c>
      <c r="EI9" s="83">
        <v>235753437</v>
      </c>
      <c r="EJ9" s="83">
        <v>1229850515</v>
      </c>
      <c r="EK9" s="83">
        <v>709738760</v>
      </c>
      <c r="EL9" s="83">
        <v>196419633</v>
      </c>
      <c r="EM9" s="83">
        <v>1468867007</v>
      </c>
      <c r="EN9" s="83">
        <v>1231284453</v>
      </c>
      <c r="EO9" s="83">
        <v>1031134826</v>
      </c>
      <c r="EP9" s="83">
        <v>1199797888</v>
      </c>
      <c r="EQ9" s="83">
        <v>1064881652</v>
      </c>
      <c r="ER9" s="83">
        <v>1509211403</v>
      </c>
      <c r="ES9" s="83">
        <v>260662688</v>
      </c>
      <c r="ET9" s="83">
        <v>1474817094</v>
      </c>
      <c r="EU9" s="83">
        <v>1095525165</v>
      </c>
      <c r="EV9" s="83">
        <v>997247235</v>
      </c>
      <c r="EW9" s="83">
        <v>999266097</v>
      </c>
      <c r="EX9" s="83">
        <v>1184223716</v>
      </c>
      <c r="EY9" s="83">
        <v>1070789044</v>
      </c>
      <c r="EZ9" s="83">
        <v>247725057</v>
      </c>
      <c r="FA9" s="83">
        <v>1138578459</v>
      </c>
      <c r="FB9" s="83">
        <v>958078322</v>
      </c>
      <c r="FC9" s="83">
        <v>982419289</v>
      </c>
      <c r="FD9" s="83">
        <v>1249389605</v>
      </c>
      <c r="FE9" s="83">
        <v>1339190681</v>
      </c>
      <c r="FF9" s="83">
        <v>1364417402</v>
      </c>
      <c r="FG9" s="83">
        <v>384368788</v>
      </c>
      <c r="FH9" s="83">
        <v>1571832471</v>
      </c>
      <c r="FI9" s="83">
        <v>1101442179</v>
      </c>
      <c r="FJ9" s="83">
        <v>828301455</v>
      </c>
      <c r="FK9" s="83">
        <v>1054234142</v>
      </c>
      <c r="FL9" s="187">
        <v>886344746</v>
      </c>
      <c r="FM9" s="187">
        <v>1313692700</v>
      </c>
      <c r="FN9" s="83">
        <v>257690765</v>
      </c>
      <c r="FO9" s="83">
        <v>1504715619</v>
      </c>
      <c r="FP9" s="83">
        <v>1098026408</v>
      </c>
      <c r="FQ9" s="83">
        <v>787409409</v>
      </c>
      <c r="FR9" s="83">
        <v>1342022397</v>
      </c>
      <c r="FS9" s="83">
        <v>1158122191</v>
      </c>
      <c r="FT9" s="83">
        <v>1203292437</v>
      </c>
      <c r="FU9" s="83">
        <v>199184155</v>
      </c>
      <c r="FV9" s="83">
        <v>1149779324</v>
      </c>
      <c r="FW9" s="83">
        <v>993743147</v>
      </c>
      <c r="FX9" s="83">
        <v>1165462045</v>
      </c>
      <c r="FY9" s="83">
        <v>1153028209</v>
      </c>
      <c r="FZ9" s="83">
        <v>871121402</v>
      </c>
      <c r="GA9" s="83">
        <v>1126662121</v>
      </c>
      <c r="GB9" s="83">
        <v>263619389</v>
      </c>
      <c r="GC9" s="83">
        <v>1470077240</v>
      </c>
      <c r="GD9" s="83">
        <v>857548564</v>
      </c>
      <c r="GE9" s="83">
        <v>1090680393</v>
      </c>
      <c r="GF9" s="83">
        <v>1094933696</v>
      </c>
      <c r="GG9" s="83">
        <v>979128477</v>
      </c>
      <c r="GH9" s="83">
        <v>1200730782</v>
      </c>
      <c r="GI9" s="83">
        <v>345193441</v>
      </c>
      <c r="GJ9" s="187">
        <v>1431744813</v>
      </c>
      <c r="GK9" s="187">
        <v>1112970595</v>
      </c>
      <c r="GL9" s="187">
        <v>949717960</v>
      </c>
      <c r="GM9" s="187">
        <v>1211752213</v>
      </c>
      <c r="GN9" s="187">
        <v>998260924</v>
      </c>
      <c r="GO9" s="187">
        <v>1127745352</v>
      </c>
      <c r="GP9" s="187">
        <v>228078692</v>
      </c>
      <c r="GQ9" s="187">
        <v>980849146</v>
      </c>
      <c r="GR9" s="83">
        <v>826156966</v>
      </c>
      <c r="GS9" s="83">
        <v>1045908924</v>
      </c>
      <c r="GT9" s="83">
        <v>1008607212</v>
      </c>
      <c r="GU9" s="83">
        <v>1406089571</v>
      </c>
      <c r="GV9" s="83">
        <v>996577287</v>
      </c>
      <c r="GW9" s="83">
        <v>306559581</v>
      </c>
      <c r="GX9" s="83">
        <v>1128605624</v>
      </c>
      <c r="GY9" s="83">
        <v>1208964944</v>
      </c>
      <c r="GZ9" s="83">
        <v>1365872920</v>
      </c>
      <c r="HA9" s="83">
        <v>1198441470</v>
      </c>
      <c r="HB9" s="83">
        <v>1273281983</v>
      </c>
      <c r="HC9" s="83">
        <v>1226174769</v>
      </c>
      <c r="HD9" s="83">
        <v>325102933</v>
      </c>
      <c r="HE9" s="83">
        <v>1161120355</v>
      </c>
      <c r="HF9" s="83">
        <v>948928492</v>
      </c>
      <c r="HG9" s="83">
        <v>1472492048</v>
      </c>
      <c r="HH9" s="83">
        <v>1203076891</v>
      </c>
      <c r="HI9" s="83">
        <v>1207474997</v>
      </c>
      <c r="HJ9" s="83">
        <v>1282252428</v>
      </c>
      <c r="HK9" s="83">
        <v>281013979</v>
      </c>
      <c r="HL9" s="83">
        <v>1228280968</v>
      </c>
      <c r="HM9" s="83">
        <v>1060682842</v>
      </c>
      <c r="HN9" s="83">
        <v>1156819982</v>
      </c>
      <c r="HO9" s="83">
        <v>1124037874</v>
      </c>
      <c r="HP9" s="83">
        <v>1173469958</v>
      </c>
      <c r="HQ9" s="83">
        <v>1038007931</v>
      </c>
      <c r="HR9" s="83">
        <v>312221787</v>
      </c>
      <c r="HS9" s="83">
        <v>1326633711</v>
      </c>
      <c r="HT9" s="83">
        <v>1454159687</v>
      </c>
      <c r="HU9" s="83">
        <v>1028446664</v>
      </c>
      <c r="HV9" s="187">
        <v>809824308</v>
      </c>
      <c r="HW9" s="83">
        <v>959636018</v>
      </c>
      <c r="HX9" s="187">
        <v>1460759160</v>
      </c>
      <c r="HY9" s="83">
        <v>116293264</v>
      </c>
      <c r="HZ9" s="187">
        <v>487397910</v>
      </c>
      <c r="IA9" s="83">
        <v>735187649</v>
      </c>
      <c r="IB9" s="187">
        <v>599419112</v>
      </c>
      <c r="IC9" s="83">
        <v>687800873</v>
      </c>
      <c r="ID9" s="187">
        <v>780236681</v>
      </c>
      <c r="IE9" s="83">
        <v>1459668088</v>
      </c>
      <c r="IF9" s="187">
        <v>375397543</v>
      </c>
      <c r="IG9" s="83">
        <v>1027524909</v>
      </c>
      <c r="IH9" s="187">
        <v>759126074</v>
      </c>
      <c r="II9" s="83">
        <v>1006409918</v>
      </c>
      <c r="IJ9" s="187">
        <v>1210771608</v>
      </c>
      <c r="IK9" s="83">
        <v>1106295519</v>
      </c>
      <c r="IL9" s="187">
        <v>1509297708</v>
      </c>
      <c r="IM9" s="83">
        <v>364758751</v>
      </c>
      <c r="IN9" s="187">
        <v>871170666</v>
      </c>
      <c r="IO9" s="83">
        <v>937813398</v>
      </c>
      <c r="IP9" s="187">
        <v>852456688</v>
      </c>
      <c r="IQ9" s="83">
        <v>897049197</v>
      </c>
      <c r="IR9" s="187">
        <v>987452797</v>
      </c>
      <c r="IS9" s="83">
        <v>1682287719</v>
      </c>
      <c r="IT9" s="187">
        <v>351850325</v>
      </c>
      <c r="IU9" s="83">
        <v>1341933516</v>
      </c>
      <c r="IV9" s="187">
        <v>1006112759</v>
      </c>
      <c r="IW9" s="83">
        <v>992409938</v>
      </c>
      <c r="IX9" s="187">
        <v>1035822645</v>
      </c>
      <c r="IY9" s="83">
        <v>1098643776</v>
      </c>
      <c r="IZ9" s="187">
        <v>1741798575</v>
      </c>
      <c r="JA9" s="83">
        <v>415725176</v>
      </c>
      <c r="JB9" s="187">
        <v>379647128</v>
      </c>
      <c r="JC9" s="83">
        <v>372142959</v>
      </c>
      <c r="JD9" s="187">
        <v>1103258438</v>
      </c>
      <c r="JE9" s="83">
        <v>986910648</v>
      </c>
      <c r="JF9" s="187">
        <v>924925516</v>
      </c>
      <c r="JG9" s="83">
        <v>1466906676</v>
      </c>
      <c r="JH9" s="187">
        <v>333984047</v>
      </c>
      <c r="JI9" s="83">
        <v>1327867885</v>
      </c>
      <c r="JJ9" s="187">
        <v>1125833872</v>
      </c>
      <c r="JK9" s="83">
        <v>834404643</v>
      </c>
      <c r="JL9" s="187">
        <v>896854811</v>
      </c>
      <c r="JM9" s="83">
        <v>746367297</v>
      </c>
      <c r="JN9" s="187">
        <v>1542637209</v>
      </c>
      <c r="JO9" s="83">
        <v>362261494</v>
      </c>
      <c r="JP9" s="187">
        <v>1184301305</v>
      </c>
      <c r="JQ9" s="83">
        <v>1081569936</v>
      </c>
      <c r="JR9" s="187">
        <v>1465509969</v>
      </c>
      <c r="JS9" s="83">
        <v>1031803849</v>
      </c>
      <c r="JT9" s="187">
        <v>1084060023</v>
      </c>
      <c r="JU9" s="83">
        <v>1533426888</v>
      </c>
      <c r="JV9" s="187">
        <v>392549744</v>
      </c>
      <c r="JW9" s="83">
        <v>1569398957</v>
      </c>
      <c r="JX9" s="187">
        <v>980282656</v>
      </c>
      <c r="JY9" s="83">
        <v>1227237678</v>
      </c>
      <c r="JZ9" s="187">
        <v>1145727974</v>
      </c>
      <c r="KA9" s="83">
        <v>1070382401</v>
      </c>
      <c r="KB9" s="187">
        <v>1564349683</v>
      </c>
      <c r="KC9" s="83">
        <v>322099722</v>
      </c>
      <c r="KD9" s="187">
        <v>1190864319</v>
      </c>
      <c r="KE9" s="83">
        <v>1043823784</v>
      </c>
      <c r="KF9" s="83">
        <v>863774918</v>
      </c>
      <c r="KG9" s="83">
        <v>889018124</v>
      </c>
      <c r="KH9" s="83">
        <v>1108953638</v>
      </c>
      <c r="KI9" s="83">
        <v>1534491290</v>
      </c>
      <c r="KJ9" s="83">
        <v>535969170</v>
      </c>
      <c r="KK9" s="83">
        <v>1552537894</v>
      </c>
      <c r="KL9" s="83">
        <v>995456468</v>
      </c>
      <c r="KM9" s="83">
        <v>1075646180</v>
      </c>
      <c r="KN9" s="83">
        <v>910613752</v>
      </c>
      <c r="KO9" s="83">
        <v>1322687968</v>
      </c>
      <c r="KP9" s="83">
        <v>1974371137</v>
      </c>
      <c r="KQ9" s="83">
        <v>731313050</v>
      </c>
      <c r="KR9" s="83">
        <v>1221845688</v>
      </c>
      <c r="KS9" s="83">
        <v>907094018</v>
      </c>
      <c r="KT9" s="83">
        <v>1006368768</v>
      </c>
      <c r="KU9" s="83">
        <v>977385061</v>
      </c>
      <c r="KV9" s="83">
        <v>1202559451</v>
      </c>
      <c r="KW9" s="83">
        <v>1334865633</v>
      </c>
      <c r="KX9" s="83">
        <v>425406364</v>
      </c>
      <c r="KY9" s="83">
        <v>1303924806</v>
      </c>
      <c r="KZ9" s="83">
        <v>935439622</v>
      </c>
      <c r="LA9" s="83">
        <v>1036926706</v>
      </c>
      <c r="LB9" s="83">
        <v>797596213</v>
      </c>
      <c r="LC9" s="83">
        <v>984192491</v>
      </c>
      <c r="LD9" s="83">
        <v>1560503866</v>
      </c>
      <c r="LE9" s="83">
        <v>518814403</v>
      </c>
      <c r="LF9" s="83">
        <v>1417571923</v>
      </c>
      <c r="LG9" s="83">
        <v>1057662920</v>
      </c>
      <c r="LH9" s="83">
        <v>1023815292</v>
      </c>
      <c r="LI9" s="83">
        <v>819958248</v>
      </c>
      <c r="LJ9" s="83">
        <v>1224757103</v>
      </c>
      <c r="LK9" s="83">
        <v>1420132173</v>
      </c>
      <c r="LL9" s="83">
        <v>500915687</v>
      </c>
      <c r="LM9" s="83">
        <v>1301738609</v>
      </c>
      <c r="LN9" s="83">
        <v>829410652</v>
      </c>
      <c r="LO9" s="83">
        <v>634884994</v>
      </c>
      <c r="LP9" s="83">
        <v>903742542</v>
      </c>
      <c r="LQ9" s="83">
        <v>1050870846</v>
      </c>
      <c r="LR9" s="83">
        <v>2026135537</v>
      </c>
      <c r="LS9" s="83">
        <v>513823482</v>
      </c>
      <c r="LT9" s="83">
        <v>1254747467</v>
      </c>
      <c r="LU9" s="83">
        <v>1347417432</v>
      </c>
      <c r="LV9" s="83">
        <v>883704973</v>
      </c>
      <c r="LW9" s="83">
        <v>1012418039</v>
      </c>
      <c r="LX9" s="83">
        <v>677569129</v>
      </c>
      <c r="LY9" s="83">
        <v>1504557478</v>
      </c>
      <c r="LZ9" s="83">
        <v>384696716</v>
      </c>
      <c r="MA9" s="83">
        <v>1326666394</v>
      </c>
      <c r="MB9" s="83">
        <v>1069763572</v>
      </c>
      <c r="MC9" s="83">
        <v>1085301593</v>
      </c>
      <c r="MD9" s="83">
        <v>892013647</v>
      </c>
      <c r="ME9" s="83">
        <v>1145128273</v>
      </c>
      <c r="MF9" s="83">
        <v>1695179001</v>
      </c>
      <c r="MG9" s="83">
        <v>455456129</v>
      </c>
      <c r="MH9" s="83">
        <v>1352066433</v>
      </c>
      <c r="MI9" s="83">
        <v>991479076</v>
      </c>
      <c r="MJ9" s="83">
        <v>1006352911</v>
      </c>
      <c r="MK9" s="83">
        <v>1006829085</v>
      </c>
      <c r="ML9" s="83">
        <v>1037999080</v>
      </c>
      <c r="MM9" s="83">
        <v>2011915906</v>
      </c>
      <c r="MN9" s="83">
        <v>724273882</v>
      </c>
      <c r="MO9" s="83">
        <v>1451629361</v>
      </c>
      <c r="MP9" s="83">
        <v>1833359131</v>
      </c>
      <c r="MQ9" s="83">
        <v>1551998974</v>
      </c>
      <c r="MR9" s="83">
        <v>1288717091</v>
      </c>
      <c r="MS9" s="83">
        <v>1350274223</v>
      </c>
      <c r="MT9" s="83">
        <v>1567154528</v>
      </c>
      <c r="MU9" s="83">
        <v>580436096</v>
      </c>
      <c r="MV9" s="83">
        <v>1402439059</v>
      </c>
      <c r="MW9" s="83">
        <v>1011102389</v>
      </c>
      <c r="MX9" s="83">
        <v>1249642001</v>
      </c>
      <c r="MY9" s="83">
        <v>1213492360</v>
      </c>
      <c r="MZ9" s="83">
        <v>1152166465</v>
      </c>
      <c r="NA9" s="83">
        <v>1577801634</v>
      </c>
      <c r="NB9" s="83">
        <v>484418427</v>
      </c>
      <c r="NC9" s="83">
        <v>1376557502</v>
      </c>
      <c r="ND9" s="83">
        <v>1268458536</v>
      </c>
      <c r="NE9" s="83">
        <v>1384909226</v>
      </c>
      <c r="NF9" s="83">
        <v>1234477350</v>
      </c>
      <c r="NG9" s="83">
        <v>1305111014</v>
      </c>
      <c r="NH9" s="83">
        <v>1420025542</v>
      </c>
      <c r="NI9" s="83">
        <v>421783948</v>
      </c>
      <c r="NJ9" s="83">
        <v>1142167213</v>
      </c>
      <c r="NK9" s="83">
        <v>1014122652</v>
      </c>
      <c r="NL9" s="83">
        <v>997044637</v>
      </c>
      <c r="NM9" s="83">
        <v>1364145948</v>
      </c>
      <c r="NN9" s="83">
        <v>1120154403</v>
      </c>
      <c r="NO9" s="83">
        <v>1241593229</v>
      </c>
      <c r="NP9" s="83">
        <v>618490301</v>
      </c>
      <c r="NQ9" s="83">
        <v>1217240694</v>
      </c>
      <c r="NR9" s="83">
        <v>1426313340</v>
      </c>
      <c r="NS9" s="83">
        <v>1192554268</v>
      </c>
      <c r="NW9" s="231" t="s">
        <v>7</v>
      </c>
      <c r="NX9" s="187">
        <f t="shared" si="11"/>
        <v>26910231361</v>
      </c>
      <c r="NY9" s="187">
        <f t="shared" si="12"/>
        <v>24816630241</v>
      </c>
      <c r="NZ9" s="187">
        <f t="shared" si="13"/>
        <v>32491920962</v>
      </c>
      <c r="OA9" s="187">
        <f t="shared" si="14"/>
        <v>29030407007</v>
      </c>
      <c r="OB9" s="187">
        <f t="shared" si="15"/>
        <v>31379485909</v>
      </c>
      <c r="OC9" s="187">
        <f t="shared" si="16"/>
        <v>29353291306</v>
      </c>
      <c r="OD9" s="187">
        <f t="shared" si="17"/>
        <v>32585289086</v>
      </c>
      <c r="OE9" s="187">
        <f t="shared" si="18"/>
        <v>28858507960</v>
      </c>
      <c r="OF9" s="187">
        <f t="shared" si="19"/>
        <v>30291391511</v>
      </c>
      <c r="OG9" s="187">
        <f t="shared" si="20"/>
        <v>33251522165</v>
      </c>
      <c r="OH9" s="187">
        <f t="shared" si="21"/>
        <v>32047190738</v>
      </c>
      <c r="OI9" s="187">
        <f t="shared" si="22"/>
        <v>37459781542</v>
      </c>
      <c r="OJ9" s="187">
        <f t="shared" si="23"/>
        <v>368475649788</v>
      </c>
      <c r="OK9" s="187">
        <f t="shared" si="24"/>
        <v>84218782564</v>
      </c>
      <c r="OL9" s="187">
        <f t="shared" si="25"/>
        <v>89763184222</v>
      </c>
      <c r="OM9" s="187">
        <f t="shared" si="26"/>
        <v>91735188557</v>
      </c>
      <c r="ON9" s="187">
        <f t="shared" si="27"/>
        <v>102758494445</v>
      </c>
      <c r="OO9" s="187"/>
      <c r="OP9" s="83">
        <v>439643992.10000002</v>
      </c>
      <c r="OQ9" s="83">
        <v>1149665863</v>
      </c>
      <c r="OR9" s="83">
        <v>964837500.89999998</v>
      </c>
      <c r="OS9" s="187">
        <v>413228301.10000002</v>
      </c>
      <c r="OT9" s="187">
        <v>1714452126</v>
      </c>
      <c r="OU9" s="187">
        <v>1539934718</v>
      </c>
      <c r="OV9" s="187">
        <v>935169285.79999995</v>
      </c>
      <c r="OW9" s="187">
        <v>961052937</v>
      </c>
      <c r="OX9" s="187">
        <v>1183402025</v>
      </c>
      <c r="OY9" s="187">
        <v>1577577053</v>
      </c>
      <c r="OZ9" s="187">
        <v>529782443.10000002</v>
      </c>
      <c r="PA9" s="187">
        <v>1455582129</v>
      </c>
      <c r="PB9" s="187">
        <v>1140662005</v>
      </c>
      <c r="PC9">
        <v>929684105.79999995</v>
      </c>
      <c r="PD9">
        <v>1170648194</v>
      </c>
      <c r="PE9">
        <v>884828536.89999998</v>
      </c>
      <c r="PF9">
        <v>1584439404</v>
      </c>
      <c r="PG9">
        <v>387297565.89999998</v>
      </c>
      <c r="PH9">
        <v>809964207.29999995</v>
      </c>
    </row>
    <row r="10" spans="2:770">
      <c r="L10" s="200">
        <f t="shared" si="33"/>
        <v>5.841145848056805E-2</v>
      </c>
      <c r="M10" s="236">
        <f>F4/10^3</f>
        <v>4.5190000000000001</v>
      </c>
      <c r="N10" s="234">
        <f t="shared" si="34"/>
        <v>77.364957450999995</v>
      </c>
      <c r="O10" s="229">
        <f t="shared" ca="1" si="35"/>
        <v>12733.047864651096</v>
      </c>
      <c r="P10" s="231" t="s">
        <v>7</v>
      </c>
      <c r="Q10" s="192">
        <v>140.14089146861306</v>
      </c>
      <c r="R10" s="260">
        <f t="shared" si="10"/>
        <v>0.55205127240343832</v>
      </c>
      <c r="S10" s="83">
        <v>1128491978</v>
      </c>
      <c r="T10" s="83">
        <v>3939030179</v>
      </c>
      <c r="U10" s="83">
        <v>3722172089</v>
      </c>
      <c r="V10" s="83">
        <v>3838725661</v>
      </c>
      <c r="W10" s="83">
        <v>1348409138</v>
      </c>
      <c r="X10" s="83">
        <v>3735392158</v>
      </c>
      <c r="Y10" s="83">
        <v>3099073413</v>
      </c>
      <c r="Z10" s="83">
        <v>3759823535</v>
      </c>
      <c r="AA10" s="83">
        <v>3550074548</v>
      </c>
      <c r="AB10" s="83">
        <v>3067342797</v>
      </c>
      <c r="AC10" s="83">
        <v>4602445166</v>
      </c>
      <c r="AD10" s="87">
        <v>1000311091</v>
      </c>
      <c r="AE10" s="83">
        <v>3977978909</v>
      </c>
      <c r="AF10" s="83">
        <v>3927557104</v>
      </c>
      <c r="AG10" s="83">
        <v>4719828660</v>
      </c>
      <c r="AH10" s="83">
        <v>3679734014</v>
      </c>
      <c r="AI10" s="83">
        <v>3034598413</v>
      </c>
      <c r="AJ10" s="83">
        <v>3293930125</v>
      </c>
      <c r="AK10" s="83">
        <v>1336564340</v>
      </c>
      <c r="AL10" s="87">
        <v>5824757837</v>
      </c>
      <c r="AM10" s="83">
        <v>4162775145</v>
      </c>
      <c r="AN10" s="83">
        <v>2900908665</v>
      </c>
      <c r="AO10" s="83">
        <v>3189771486</v>
      </c>
      <c r="AP10" s="83">
        <v>4039004478</v>
      </c>
      <c r="AQ10" s="83">
        <v>3257007661</v>
      </c>
      <c r="AR10" s="83">
        <v>1461795425</v>
      </c>
      <c r="AS10" s="83">
        <v>1232817320</v>
      </c>
      <c r="AT10" s="83">
        <v>1029739727</v>
      </c>
      <c r="AU10" s="83">
        <v>273916389</v>
      </c>
      <c r="AV10" s="83">
        <v>743913387</v>
      </c>
      <c r="AW10" s="87">
        <v>1270944239</v>
      </c>
      <c r="AX10" s="83">
        <v>623901550</v>
      </c>
      <c r="AY10" s="83">
        <v>260418042</v>
      </c>
      <c r="AZ10" s="83">
        <v>3719895502</v>
      </c>
      <c r="BA10" s="83">
        <v>3697916404</v>
      </c>
      <c r="BB10" s="83">
        <v>3932122872</v>
      </c>
      <c r="BC10" s="83">
        <v>3818528830</v>
      </c>
      <c r="BD10" s="83">
        <v>3923577814</v>
      </c>
      <c r="BE10" s="83">
        <v>3719650285</v>
      </c>
      <c r="BF10" s="83">
        <v>1459350162</v>
      </c>
      <c r="BG10" s="83">
        <v>4188783068</v>
      </c>
      <c r="BH10" s="83">
        <v>4429084307</v>
      </c>
      <c r="BI10" s="83">
        <v>3758012389</v>
      </c>
      <c r="BJ10" s="83">
        <v>4663810035</v>
      </c>
      <c r="BK10" s="83">
        <v>4420271570</v>
      </c>
      <c r="BL10" s="83">
        <v>5293945135</v>
      </c>
      <c r="BM10" s="83">
        <v>971527055</v>
      </c>
      <c r="BN10" s="83">
        <v>5022906250</v>
      </c>
      <c r="BO10" s="83">
        <v>4252659497</v>
      </c>
      <c r="BP10" s="83">
        <v>4917028190</v>
      </c>
      <c r="BQ10" s="83">
        <v>4519080411</v>
      </c>
      <c r="BR10" s="83">
        <v>4881503178</v>
      </c>
      <c r="BS10" s="83">
        <v>4036910573</v>
      </c>
      <c r="BT10" s="83">
        <v>1244707181</v>
      </c>
      <c r="BU10" s="83">
        <v>4900406716</v>
      </c>
      <c r="BV10" s="83">
        <v>4955945392</v>
      </c>
      <c r="BW10" s="83">
        <v>4825359467</v>
      </c>
      <c r="BX10" s="83">
        <v>3640930330</v>
      </c>
      <c r="BY10" s="83">
        <v>4986801922</v>
      </c>
      <c r="BZ10" s="83">
        <v>4302012718</v>
      </c>
      <c r="CA10" s="83">
        <v>1015017147</v>
      </c>
      <c r="CB10" s="83">
        <v>4791690398</v>
      </c>
      <c r="CC10" s="83">
        <v>3951686230</v>
      </c>
      <c r="CD10" s="83">
        <v>4289032081</v>
      </c>
      <c r="CE10" s="83">
        <v>4229889285</v>
      </c>
      <c r="CF10" s="83">
        <v>4343847886</v>
      </c>
      <c r="CG10" s="83">
        <v>4590360234</v>
      </c>
      <c r="CH10" s="83">
        <v>798759833</v>
      </c>
      <c r="CI10" s="83">
        <v>5176497656</v>
      </c>
      <c r="CJ10" s="83">
        <v>4345290570</v>
      </c>
      <c r="CK10" s="87">
        <v>4568895841</v>
      </c>
      <c r="CL10" s="83">
        <v>3974439713</v>
      </c>
      <c r="CM10" s="83">
        <v>4535476757</v>
      </c>
      <c r="CN10" s="83">
        <v>4236338889</v>
      </c>
      <c r="CO10" s="83">
        <v>1171893462</v>
      </c>
      <c r="CP10" s="83">
        <v>5504983662</v>
      </c>
      <c r="CQ10" s="83">
        <v>5630940237</v>
      </c>
      <c r="CR10" s="83">
        <v>5513035584</v>
      </c>
      <c r="CS10" s="87">
        <v>4762022766</v>
      </c>
      <c r="CT10" s="83">
        <v>5155863028</v>
      </c>
      <c r="CU10" s="83">
        <v>4546270890</v>
      </c>
      <c r="CV10" s="83">
        <v>1641627045</v>
      </c>
      <c r="CW10" s="83">
        <v>5163474181</v>
      </c>
      <c r="CX10" s="83">
        <v>3959781903</v>
      </c>
      <c r="CY10" s="83">
        <v>4559672777</v>
      </c>
      <c r="CZ10" s="83">
        <v>4249096983</v>
      </c>
      <c r="DA10" s="83">
        <v>4246577192</v>
      </c>
      <c r="DB10" s="83">
        <v>5146268765</v>
      </c>
      <c r="DC10" s="83">
        <v>1443298470</v>
      </c>
      <c r="DD10" s="87">
        <v>5812582011</v>
      </c>
      <c r="DE10" s="83">
        <v>4149285863</v>
      </c>
      <c r="DF10" s="83">
        <v>4434223491</v>
      </c>
      <c r="DG10" s="83">
        <v>4667780754</v>
      </c>
      <c r="DH10" s="83">
        <v>4297670363</v>
      </c>
      <c r="DI10" s="83">
        <v>5253841889</v>
      </c>
      <c r="DJ10" s="83">
        <v>1179617463</v>
      </c>
      <c r="DK10" s="83">
        <v>589552831</v>
      </c>
      <c r="DL10" s="83">
        <v>5885608102</v>
      </c>
      <c r="DM10" s="83">
        <v>5059989025</v>
      </c>
      <c r="DN10" s="83">
        <v>4924888017</v>
      </c>
      <c r="DO10" s="83">
        <v>3955438458</v>
      </c>
      <c r="DP10" s="83">
        <v>4322830289</v>
      </c>
      <c r="DQ10" s="83">
        <v>1044895777</v>
      </c>
      <c r="DR10" s="83">
        <v>4696353097</v>
      </c>
      <c r="DS10" s="83">
        <v>4536172716</v>
      </c>
      <c r="DT10" s="83">
        <v>4364466154</v>
      </c>
      <c r="DU10" s="83">
        <v>4836019103</v>
      </c>
      <c r="DV10" s="83">
        <v>4250743370</v>
      </c>
      <c r="DW10" s="83">
        <v>4289885541</v>
      </c>
      <c r="DX10" s="83">
        <v>1254425366</v>
      </c>
      <c r="DY10" s="83">
        <v>5173292480</v>
      </c>
      <c r="DZ10" s="83">
        <v>3315891591</v>
      </c>
      <c r="EA10" s="83">
        <v>4934883338</v>
      </c>
      <c r="EB10" s="83">
        <v>3543608440</v>
      </c>
      <c r="EC10" s="83">
        <v>4000579924</v>
      </c>
      <c r="ED10" s="83">
        <v>3739742871</v>
      </c>
      <c r="EE10" s="83">
        <v>951950218</v>
      </c>
      <c r="EF10" s="83">
        <v>4578526837</v>
      </c>
      <c r="EG10" s="83">
        <v>6006092146</v>
      </c>
      <c r="EH10" s="83">
        <v>2158843350</v>
      </c>
      <c r="EI10" s="83">
        <v>357717948</v>
      </c>
      <c r="EJ10" s="83">
        <v>4034860746</v>
      </c>
      <c r="EK10" s="83">
        <v>3463864468</v>
      </c>
      <c r="EL10" s="83">
        <v>1062940185</v>
      </c>
      <c r="EM10" s="83">
        <v>4908950727</v>
      </c>
      <c r="EN10" s="83">
        <v>4746530863</v>
      </c>
      <c r="EO10" s="83">
        <v>4736724145</v>
      </c>
      <c r="EP10" s="83">
        <v>4230811385</v>
      </c>
      <c r="EQ10" s="83">
        <v>4590135598</v>
      </c>
      <c r="ER10" s="83">
        <v>4960707517</v>
      </c>
      <c r="ES10" s="83">
        <v>1101623840</v>
      </c>
      <c r="ET10" s="83">
        <v>5329293533</v>
      </c>
      <c r="EU10" s="83">
        <v>4537939433</v>
      </c>
      <c r="EV10" s="83">
        <v>4067798526</v>
      </c>
      <c r="EW10" s="83">
        <v>5224429268</v>
      </c>
      <c r="EX10" s="83">
        <v>4288351182</v>
      </c>
      <c r="EY10" s="83">
        <v>5046266731</v>
      </c>
      <c r="EZ10" s="83">
        <v>877628677</v>
      </c>
      <c r="FA10" s="83">
        <v>5604049724</v>
      </c>
      <c r="FB10" s="83">
        <v>4526270326</v>
      </c>
      <c r="FC10" s="83">
        <v>4301686044</v>
      </c>
      <c r="FD10" s="83">
        <v>4910378284</v>
      </c>
      <c r="FE10" s="83">
        <v>4510497001</v>
      </c>
      <c r="FF10" s="83">
        <v>4156876883</v>
      </c>
      <c r="FG10" s="83">
        <v>1026669303</v>
      </c>
      <c r="FH10" s="83">
        <v>5380630475</v>
      </c>
      <c r="FI10" s="83">
        <v>5250059164</v>
      </c>
      <c r="FJ10" s="83">
        <v>3876623135</v>
      </c>
      <c r="FK10" s="83">
        <v>3964824554</v>
      </c>
      <c r="FL10" s="187">
        <v>4501103598</v>
      </c>
      <c r="FM10" s="187">
        <v>5613866860</v>
      </c>
      <c r="FN10" s="83">
        <v>1493483799</v>
      </c>
      <c r="FO10" s="83">
        <v>4165484805</v>
      </c>
      <c r="FP10" s="83">
        <v>4522935904</v>
      </c>
      <c r="FQ10" s="83">
        <v>4202181517</v>
      </c>
      <c r="FR10" s="83">
        <v>4445287230</v>
      </c>
      <c r="FS10" s="83">
        <v>4383093234</v>
      </c>
      <c r="FT10" s="83">
        <v>4736471793</v>
      </c>
      <c r="FU10" s="83">
        <v>1489292774</v>
      </c>
      <c r="FV10" s="83">
        <v>4477794595</v>
      </c>
      <c r="FW10" s="83">
        <v>4274075580</v>
      </c>
      <c r="FX10" s="83">
        <v>5433443595</v>
      </c>
      <c r="FY10" s="83">
        <v>4984695835</v>
      </c>
      <c r="FZ10" s="83">
        <v>4627249731</v>
      </c>
      <c r="GA10" s="83">
        <v>4764164679</v>
      </c>
      <c r="GB10" s="83">
        <v>1609956824</v>
      </c>
      <c r="GC10" s="83">
        <v>4971531995</v>
      </c>
      <c r="GD10" s="83">
        <v>4510473805</v>
      </c>
      <c r="GE10" s="83">
        <v>4380476888</v>
      </c>
      <c r="GF10" s="83">
        <v>4446856146</v>
      </c>
      <c r="GG10" s="83">
        <v>4561628991</v>
      </c>
      <c r="GH10" s="83">
        <v>4928841331</v>
      </c>
      <c r="GI10" s="83">
        <v>1091090290</v>
      </c>
      <c r="GJ10" s="187">
        <v>5519602040</v>
      </c>
      <c r="GK10" s="187">
        <v>4709667539</v>
      </c>
      <c r="GL10" s="187">
        <v>4760734872</v>
      </c>
      <c r="GM10" s="187">
        <v>4274693338</v>
      </c>
      <c r="GN10" s="187">
        <v>3632129220</v>
      </c>
      <c r="GO10" s="187">
        <v>5247274601</v>
      </c>
      <c r="GP10" s="187">
        <v>1133763278</v>
      </c>
      <c r="GQ10" s="83">
        <v>5212435640</v>
      </c>
      <c r="GR10" s="83">
        <v>4298516773</v>
      </c>
      <c r="GS10" s="83">
        <v>4200482843</v>
      </c>
      <c r="GT10" s="83">
        <v>4267925633</v>
      </c>
      <c r="GU10" s="83">
        <v>4448956159</v>
      </c>
      <c r="GV10" s="83">
        <v>5683695504</v>
      </c>
      <c r="GW10" s="83">
        <v>1229253735</v>
      </c>
      <c r="GX10" s="83">
        <v>5137863072</v>
      </c>
      <c r="GY10" s="83">
        <v>4980650455</v>
      </c>
      <c r="GZ10" s="83">
        <v>4674483604</v>
      </c>
      <c r="HA10" s="83">
        <v>4841664622</v>
      </c>
      <c r="HB10" s="83">
        <v>5264128931</v>
      </c>
      <c r="HC10" s="83">
        <v>4706365123</v>
      </c>
      <c r="HD10" s="83">
        <v>1184138501</v>
      </c>
      <c r="HE10" s="83">
        <v>4732012654</v>
      </c>
      <c r="HF10" s="83">
        <v>4621393685</v>
      </c>
      <c r="HG10" s="83">
        <v>3964650008</v>
      </c>
      <c r="HH10" s="83">
        <v>4297155220</v>
      </c>
      <c r="HI10" s="83">
        <v>3785109041</v>
      </c>
      <c r="HJ10" s="83">
        <v>4626301229</v>
      </c>
      <c r="HK10" s="83">
        <v>1766318518</v>
      </c>
      <c r="HL10" s="83">
        <v>5477618291</v>
      </c>
      <c r="HM10" s="83">
        <v>4351776091</v>
      </c>
      <c r="HN10" s="83">
        <v>4392463975</v>
      </c>
      <c r="HO10" s="83">
        <v>4368637117</v>
      </c>
      <c r="HP10" s="83">
        <v>4388578165</v>
      </c>
      <c r="HQ10" s="83">
        <v>4125295753</v>
      </c>
      <c r="HR10" s="83">
        <v>1291803823</v>
      </c>
      <c r="HS10" s="83">
        <v>5794402303</v>
      </c>
      <c r="HT10" s="83">
        <v>4720799330</v>
      </c>
      <c r="HU10" s="83">
        <v>5422557027</v>
      </c>
      <c r="HV10" s="83">
        <v>6200849947</v>
      </c>
      <c r="HW10" s="83">
        <v>4823510536</v>
      </c>
      <c r="HX10" s="83">
        <v>5372752788</v>
      </c>
      <c r="HY10" s="83">
        <v>818765941</v>
      </c>
      <c r="HZ10" s="83">
        <v>5129296266</v>
      </c>
      <c r="IA10" s="83">
        <v>3835601572</v>
      </c>
      <c r="IB10" s="83">
        <v>4118043957</v>
      </c>
      <c r="IC10" s="83">
        <v>4135946061</v>
      </c>
      <c r="ID10" s="83">
        <v>4533095254</v>
      </c>
      <c r="IE10" s="83">
        <v>4610305166</v>
      </c>
      <c r="IF10" s="83">
        <v>1112803203</v>
      </c>
      <c r="IG10" s="83">
        <v>5452893898</v>
      </c>
      <c r="IH10" s="83">
        <v>4208631181</v>
      </c>
      <c r="II10" s="83">
        <v>4405251411</v>
      </c>
      <c r="IJ10" s="83">
        <v>4015958090</v>
      </c>
      <c r="IK10" s="83">
        <v>4790472053</v>
      </c>
      <c r="IL10" s="83">
        <v>4770204608</v>
      </c>
      <c r="IM10" s="83">
        <v>1361897255</v>
      </c>
      <c r="IN10" s="83">
        <v>4933470004</v>
      </c>
      <c r="IO10" s="83">
        <v>4877985908</v>
      </c>
      <c r="IP10" s="83">
        <v>4755815535</v>
      </c>
      <c r="IQ10" s="83">
        <v>3978982930</v>
      </c>
      <c r="IR10" s="83">
        <v>3754398153</v>
      </c>
      <c r="IS10" s="83">
        <v>3906887513</v>
      </c>
      <c r="IT10" s="83">
        <v>952293605</v>
      </c>
      <c r="IU10" s="83">
        <v>4550245114</v>
      </c>
      <c r="IV10" s="83">
        <v>3434590156</v>
      </c>
      <c r="IW10" s="83">
        <v>4872715173</v>
      </c>
      <c r="IX10" s="83">
        <v>4324651664</v>
      </c>
      <c r="IY10" s="83">
        <v>6830839142</v>
      </c>
      <c r="IZ10" s="83">
        <v>6287023304</v>
      </c>
      <c r="JA10" s="83">
        <v>1640135565</v>
      </c>
      <c r="JB10" s="83">
        <v>849397447</v>
      </c>
      <c r="JC10" s="83">
        <v>1007884589</v>
      </c>
      <c r="JD10" s="83">
        <v>5233795364</v>
      </c>
      <c r="JE10" s="83">
        <v>4914943317</v>
      </c>
      <c r="JF10" s="83">
        <v>4647691408</v>
      </c>
      <c r="JG10" s="83">
        <v>4636914226</v>
      </c>
      <c r="JH10" s="83">
        <v>1230501229</v>
      </c>
      <c r="JI10" s="83">
        <v>5486023741</v>
      </c>
      <c r="JJ10" s="83">
        <v>4081100592</v>
      </c>
      <c r="JK10" s="83">
        <v>4581415024</v>
      </c>
      <c r="JL10" s="83">
        <v>4624936605</v>
      </c>
      <c r="JM10" s="83">
        <v>6607569104</v>
      </c>
      <c r="JN10" s="83">
        <v>5032317831</v>
      </c>
      <c r="JO10" s="83">
        <v>1000463922</v>
      </c>
      <c r="JP10" s="83">
        <v>5148045400</v>
      </c>
      <c r="JQ10" s="83">
        <v>4562209780</v>
      </c>
      <c r="JR10" s="83">
        <v>6171205349</v>
      </c>
      <c r="JS10" s="83">
        <v>4553306979</v>
      </c>
      <c r="JT10" s="83">
        <v>3962987219</v>
      </c>
      <c r="JU10" s="83">
        <v>6154930097</v>
      </c>
      <c r="JV10" s="83">
        <v>1026251091</v>
      </c>
      <c r="JW10" s="83">
        <v>5915450319</v>
      </c>
      <c r="JX10" s="83">
        <v>4273639809</v>
      </c>
      <c r="JY10" s="83">
        <v>5022971188</v>
      </c>
      <c r="JZ10" s="83">
        <v>4678142337</v>
      </c>
      <c r="KA10" s="83">
        <v>4882043094</v>
      </c>
      <c r="KB10" s="83">
        <v>5147359122</v>
      </c>
      <c r="KC10" s="83">
        <v>1201082142</v>
      </c>
      <c r="KD10" s="83">
        <v>6498197615</v>
      </c>
      <c r="KE10" s="83">
        <v>7632028059</v>
      </c>
      <c r="KF10" s="83">
        <v>5360986959</v>
      </c>
      <c r="KG10" s="83">
        <v>5673750709</v>
      </c>
      <c r="KH10" s="83">
        <v>4376364356</v>
      </c>
      <c r="KI10" s="83">
        <v>5485715570</v>
      </c>
      <c r="KJ10" s="83">
        <v>1403064908</v>
      </c>
      <c r="KK10" s="83">
        <v>5716164927</v>
      </c>
      <c r="KL10" s="83">
        <v>4426990703</v>
      </c>
      <c r="KM10" s="83">
        <v>6364611245</v>
      </c>
      <c r="KN10" s="83">
        <v>4993018816</v>
      </c>
      <c r="KO10" s="83">
        <v>4548941965</v>
      </c>
      <c r="KP10" s="83">
        <v>5839270730</v>
      </c>
      <c r="KQ10" s="83">
        <v>1390514453</v>
      </c>
      <c r="KR10" s="83">
        <v>6325228710</v>
      </c>
      <c r="KS10" s="83">
        <v>4628319715</v>
      </c>
      <c r="KT10" s="83">
        <v>4457930957</v>
      </c>
      <c r="KU10" s="83">
        <v>5228433471</v>
      </c>
      <c r="KV10" s="83">
        <v>4566109364</v>
      </c>
      <c r="KW10" s="83">
        <v>5128733162</v>
      </c>
      <c r="KX10" s="83">
        <v>1670420243</v>
      </c>
      <c r="KY10" s="83">
        <v>6159853946</v>
      </c>
      <c r="KZ10" s="83">
        <v>4230807600</v>
      </c>
      <c r="LA10" s="83">
        <v>4586534243</v>
      </c>
      <c r="LB10" s="83">
        <v>5233323223</v>
      </c>
      <c r="LC10" s="83">
        <v>5221206526</v>
      </c>
      <c r="LD10" s="83">
        <v>5416386578</v>
      </c>
      <c r="LE10" s="83">
        <v>1686584325</v>
      </c>
      <c r="LF10" s="83">
        <v>4836886656</v>
      </c>
      <c r="LG10" s="83">
        <v>4467709979</v>
      </c>
      <c r="LH10" s="83">
        <v>4812130710</v>
      </c>
      <c r="LI10" s="83">
        <v>5632581223</v>
      </c>
      <c r="LJ10" s="83">
        <v>5736895802</v>
      </c>
      <c r="LK10" s="83">
        <v>5204201560</v>
      </c>
      <c r="LL10" s="83">
        <v>1262206098</v>
      </c>
      <c r="LM10" s="83">
        <v>5398358904</v>
      </c>
      <c r="LN10" s="83">
        <v>4775206166</v>
      </c>
      <c r="LO10" s="83">
        <v>4803123155</v>
      </c>
      <c r="LP10" s="83">
        <v>4132903580</v>
      </c>
      <c r="LQ10" s="83">
        <v>4722132625</v>
      </c>
      <c r="LR10" s="83">
        <v>4925237426</v>
      </c>
      <c r="LS10" s="83">
        <v>1136221194</v>
      </c>
      <c r="LT10" s="83">
        <v>4684903323</v>
      </c>
      <c r="LU10" s="83">
        <v>5248462043</v>
      </c>
      <c r="LV10" s="83">
        <v>4113429156</v>
      </c>
      <c r="LW10" s="83">
        <v>4350950766</v>
      </c>
      <c r="LX10" s="83">
        <v>4200032634</v>
      </c>
      <c r="LY10" s="83">
        <v>5009524445</v>
      </c>
      <c r="LZ10" s="83">
        <v>1180053220</v>
      </c>
      <c r="MA10" s="83">
        <v>5200882499</v>
      </c>
      <c r="MB10" s="83">
        <v>6915932239</v>
      </c>
      <c r="MC10" s="83">
        <v>4529986260</v>
      </c>
      <c r="MD10" s="83">
        <v>4040647929</v>
      </c>
      <c r="ME10" s="83">
        <v>5702403317</v>
      </c>
      <c r="MF10" s="83">
        <v>4313130903</v>
      </c>
      <c r="MG10" s="83">
        <v>1152161194</v>
      </c>
      <c r="MH10" s="83">
        <v>7848884911</v>
      </c>
      <c r="MI10" s="83">
        <v>5506681723</v>
      </c>
      <c r="MJ10" s="83">
        <v>6039143866</v>
      </c>
      <c r="MK10" s="83">
        <v>4804236914</v>
      </c>
      <c r="ML10" s="83">
        <v>5787017345</v>
      </c>
      <c r="MM10" s="83">
        <v>6680340750</v>
      </c>
      <c r="MN10" s="83">
        <v>1189623503</v>
      </c>
      <c r="MO10" s="83">
        <v>5193976795</v>
      </c>
      <c r="MP10" s="83">
        <v>4018384869</v>
      </c>
      <c r="MQ10" s="83">
        <v>4903992456</v>
      </c>
      <c r="MR10" s="83">
        <v>4914066201</v>
      </c>
      <c r="MS10" s="83">
        <v>5475297217</v>
      </c>
      <c r="MT10" s="83">
        <v>4906385937</v>
      </c>
      <c r="MU10" s="83">
        <v>898417907</v>
      </c>
      <c r="MV10" s="83">
        <v>4742515724</v>
      </c>
      <c r="MW10" s="83">
        <v>5019573417</v>
      </c>
      <c r="MX10" s="83">
        <v>4826686648</v>
      </c>
      <c r="MY10" s="83">
        <v>5198146263</v>
      </c>
      <c r="MZ10" s="83">
        <v>4647134025</v>
      </c>
      <c r="NA10" s="83">
        <v>4149373971</v>
      </c>
      <c r="NB10" s="83">
        <v>1140680664</v>
      </c>
      <c r="NC10" s="83">
        <v>4941613159</v>
      </c>
      <c r="ND10" s="83">
        <v>4906245129</v>
      </c>
      <c r="NE10" s="83">
        <v>5234386476</v>
      </c>
      <c r="NF10" s="83">
        <v>4352521100</v>
      </c>
      <c r="NG10" s="83">
        <v>5376562491</v>
      </c>
      <c r="NH10" s="83">
        <v>6911670165</v>
      </c>
      <c r="NI10" s="83">
        <v>1365129739</v>
      </c>
      <c r="NJ10" s="83">
        <v>6192843463</v>
      </c>
      <c r="NK10" s="83">
        <v>5517577776</v>
      </c>
      <c r="NL10" s="83">
        <v>5312424986</v>
      </c>
      <c r="NM10" s="83">
        <v>5538912155</v>
      </c>
      <c r="NN10" s="83">
        <v>4299420287</v>
      </c>
      <c r="NO10" s="83">
        <v>5532331203</v>
      </c>
      <c r="NP10" s="83">
        <v>1590152712</v>
      </c>
      <c r="NQ10" s="83">
        <v>5935988231</v>
      </c>
      <c r="NR10" s="83">
        <v>5042825735</v>
      </c>
      <c r="NS10" s="83">
        <v>6248375551</v>
      </c>
      <c r="NX10" s="187">
        <f t="shared" si="11"/>
        <v>90148835077</v>
      </c>
      <c r="NY10" s="187">
        <f t="shared" si="12"/>
        <v>105065034127</v>
      </c>
      <c r="NZ10" s="187">
        <f t="shared" si="13"/>
        <v>127656624194</v>
      </c>
      <c r="OA10" s="187">
        <f t="shared" si="14"/>
        <v>116397098864</v>
      </c>
      <c r="OB10" s="187">
        <f t="shared" si="15"/>
        <v>125190110123</v>
      </c>
      <c r="OC10" s="187">
        <f t="shared" si="16"/>
        <v>122990811869</v>
      </c>
      <c r="OD10" s="187">
        <f t="shared" si="17"/>
        <v>133245847132</v>
      </c>
      <c r="OE10" s="187">
        <f t="shared" si="18"/>
        <v>126595463006</v>
      </c>
      <c r="OF10" s="187">
        <f t="shared" si="19"/>
        <v>130764803999</v>
      </c>
      <c r="OG10" s="187">
        <f t="shared" si="20"/>
        <v>145605471774</v>
      </c>
      <c r="OH10" s="187">
        <f t="shared" si="21"/>
        <v>134858019648</v>
      </c>
      <c r="OI10" s="187">
        <f t="shared" si="22"/>
        <v>144333612452</v>
      </c>
      <c r="OJ10" s="187">
        <f t="shared" si="23"/>
        <v>1502851732265</v>
      </c>
      <c r="OK10" s="187">
        <f t="shared" si="24"/>
        <v>322870493398</v>
      </c>
      <c r="OL10" s="187">
        <f t="shared" si="25"/>
        <v>364578020856</v>
      </c>
      <c r="OM10" s="187">
        <f t="shared" si="26"/>
        <v>390606114137</v>
      </c>
      <c r="ON10" s="187">
        <f t="shared" si="27"/>
        <v>424797103874</v>
      </c>
      <c r="OO10" s="187"/>
      <c r="OP10" s="83">
        <v>852247742</v>
      </c>
      <c r="OQ10" s="83">
        <v>4530989970</v>
      </c>
      <c r="OR10" s="83">
        <v>3793264954</v>
      </c>
      <c r="OS10" s="187">
        <v>1123157059</v>
      </c>
      <c r="OT10" s="187">
        <v>5444031599</v>
      </c>
      <c r="OU10" s="187">
        <v>4941218618</v>
      </c>
      <c r="OV10" s="187">
        <v>5697113031</v>
      </c>
      <c r="OW10" s="187">
        <v>4447751909</v>
      </c>
      <c r="OX10" s="187">
        <v>4908438190</v>
      </c>
      <c r="OY10" s="187">
        <v>5694535256</v>
      </c>
      <c r="OZ10" s="187">
        <v>1417289851</v>
      </c>
      <c r="PA10" s="187">
        <v>5108161211</v>
      </c>
      <c r="PB10" s="187">
        <v>5189375303</v>
      </c>
      <c r="PC10">
        <v>4981750348</v>
      </c>
      <c r="PD10">
        <v>4412307855</v>
      </c>
      <c r="PE10">
        <v>5152358666</v>
      </c>
      <c r="PF10">
        <v>4805115207</v>
      </c>
      <c r="PG10">
        <v>1404495626</v>
      </c>
      <c r="PH10">
        <v>3461355056</v>
      </c>
    </row>
    <row r="11" spans="2:770">
      <c r="B11" s="457" t="s">
        <v>0</v>
      </c>
      <c r="C11" s="457" t="s">
        <v>1</v>
      </c>
      <c r="D11" s="457" t="s">
        <v>45</v>
      </c>
      <c r="E11" s="457"/>
      <c r="F11" s="457"/>
      <c r="G11" s="457"/>
      <c r="H11" s="457"/>
      <c r="I11" s="457"/>
      <c r="J11" s="45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HW11" s="187"/>
      <c r="OI11" s="187"/>
    </row>
    <row r="12" spans="2:770" ht="17.25" customHeight="1">
      <c r="B12" s="457"/>
      <c r="C12" s="457"/>
      <c r="D12" s="363" t="s">
        <v>5</v>
      </c>
      <c r="E12" s="363" t="s">
        <v>6</v>
      </c>
      <c r="F12" s="363" t="s">
        <v>7</v>
      </c>
      <c r="G12" s="363" t="s">
        <v>8</v>
      </c>
      <c r="H12" s="363" t="s">
        <v>9</v>
      </c>
      <c r="I12" s="363" t="s">
        <v>10</v>
      </c>
      <c r="J12" s="363" t="s">
        <v>11</v>
      </c>
    </row>
    <row r="13" spans="2:770" ht="15" customHeight="1">
      <c r="B13" s="458" t="s">
        <v>37</v>
      </c>
      <c r="C13" s="458"/>
      <c r="D13" s="364">
        <f>SUM(D14:D17)</f>
        <v>11609</v>
      </c>
      <c r="E13" s="364">
        <f t="shared" ref="E13" si="36">SUM(E14:E18)</f>
        <v>1700</v>
      </c>
      <c r="F13" s="364">
        <f>SUM(F14:F18)</f>
        <v>36341</v>
      </c>
      <c r="G13" s="364">
        <f>SUM(G15:G17)</f>
        <v>13039.553532170605</v>
      </c>
      <c r="H13" s="364"/>
      <c r="I13" s="364">
        <f>SUM(I14:I17)</f>
        <v>4100</v>
      </c>
      <c r="J13" s="364">
        <f>SUM(J14:J18)</f>
        <v>66789.553532170612</v>
      </c>
      <c r="L13" s="96"/>
      <c r="P13" s="90" t="s">
        <v>15</v>
      </c>
      <c r="Q13" s="472" t="s">
        <v>1</v>
      </c>
      <c r="R13" s="473"/>
      <c r="S13" s="91">
        <v>45658</v>
      </c>
      <c r="T13" s="91">
        <v>45659</v>
      </c>
      <c r="U13" s="91">
        <v>45660</v>
      </c>
      <c r="V13" s="91">
        <v>45661</v>
      </c>
      <c r="W13" s="91">
        <v>45662</v>
      </c>
      <c r="X13" s="91">
        <v>45663</v>
      </c>
      <c r="Y13" s="91">
        <v>45664</v>
      </c>
      <c r="Z13" s="91">
        <v>45665</v>
      </c>
      <c r="AA13" s="91">
        <v>45666</v>
      </c>
      <c r="AB13" s="91">
        <v>45667</v>
      </c>
      <c r="AC13" s="91">
        <v>45668</v>
      </c>
      <c r="AD13" s="91">
        <v>45669</v>
      </c>
      <c r="AE13" s="91">
        <v>45670</v>
      </c>
      <c r="AF13" s="91">
        <v>45671</v>
      </c>
      <c r="AG13" s="91">
        <v>45672</v>
      </c>
      <c r="AH13" s="91">
        <v>45673</v>
      </c>
      <c r="AI13" s="91">
        <v>45674</v>
      </c>
      <c r="AJ13" s="91">
        <v>45675</v>
      </c>
      <c r="AK13" s="91">
        <v>45676</v>
      </c>
      <c r="AL13" s="91">
        <v>45677</v>
      </c>
      <c r="AM13" s="91">
        <v>45678</v>
      </c>
      <c r="AN13" s="91">
        <v>45679</v>
      </c>
      <c r="AO13" s="91">
        <v>45680</v>
      </c>
      <c r="AP13" s="91">
        <v>45681</v>
      </c>
      <c r="AQ13" s="91">
        <v>45682</v>
      </c>
      <c r="AR13" s="91">
        <v>45683</v>
      </c>
      <c r="AS13" s="91">
        <v>45684</v>
      </c>
      <c r="AT13" s="91">
        <v>45685</v>
      </c>
      <c r="AU13" s="91">
        <v>45686</v>
      </c>
      <c r="AV13" s="91">
        <v>45687</v>
      </c>
      <c r="AW13" s="91">
        <v>45688</v>
      </c>
      <c r="AX13" s="91">
        <v>45689</v>
      </c>
      <c r="AY13" s="91">
        <v>45690</v>
      </c>
      <c r="AZ13" s="91">
        <v>45691</v>
      </c>
      <c r="BA13" s="91">
        <v>45692</v>
      </c>
      <c r="BB13" s="91">
        <v>45693</v>
      </c>
      <c r="BC13" s="91">
        <v>45694</v>
      </c>
      <c r="BD13" s="91">
        <v>45695</v>
      </c>
      <c r="BE13" s="91">
        <v>45696</v>
      </c>
      <c r="BF13" s="91">
        <v>45697</v>
      </c>
      <c r="BG13" s="91">
        <v>45698</v>
      </c>
      <c r="BH13" s="91">
        <v>45699</v>
      </c>
      <c r="BI13" s="91">
        <v>45700</v>
      </c>
      <c r="BJ13" s="91">
        <v>45701</v>
      </c>
      <c r="BK13" s="91">
        <v>45702</v>
      </c>
      <c r="BL13" s="91">
        <v>45703</v>
      </c>
      <c r="BM13" s="91">
        <v>45704</v>
      </c>
      <c r="BN13" s="91">
        <v>45705</v>
      </c>
      <c r="BO13" s="91">
        <v>45706</v>
      </c>
      <c r="BP13" s="91">
        <v>45707</v>
      </c>
      <c r="BQ13" s="91">
        <v>45708</v>
      </c>
      <c r="BR13" s="91">
        <v>45709</v>
      </c>
      <c r="BS13" s="91">
        <v>45710</v>
      </c>
      <c r="BT13" s="91">
        <v>45711</v>
      </c>
      <c r="BU13" s="91">
        <v>45712</v>
      </c>
      <c r="BV13" s="91">
        <v>45713</v>
      </c>
      <c r="BW13" s="91">
        <v>45714</v>
      </c>
      <c r="BX13" s="91">
        <v>45715</v>
      </c>
      <c r="BY13" s="91">
        <v>45716</v>
      </c>
      <c r="BZ13" s="91">
        <v>45717</v>
      </c>
      <c r="CA13" s="91">
        <v>45718</v>
      </c>
      <c r="CB13" s="91">
        <v>45719</v>
      </c>
      <c r="CC13" s="91">
        <v>45720</v>
      </c>
      <c r="CD13" s="91">
        <v>45721</v>
      </c>
      <c r="CE13" s="91">
        <v>45722</v>
      </c>
      <c r="CF13" s="91">
        <v>45723</v>
      </c>
      <c r="CG13" s="91">
        <v>45724</v>
      </c>
      <c r="CH13" s="91">
        <v>45725</v>
      </c>
      <c r="CI13" s="91">
        <v>45726</v>
      </c>
      <c r="CJ13" s="91">
        <v>45727</v>
      </c>
      <c r="CK13" s="91">
        <v>45728</v>
      </c>
      <c r="CL13" s="91">
        <v>45729</v>
      </c>
      <c r="CM13" s="91">
        <v>45730</v>
      </c>
      <c r="CN13" s="91">
        <v>45731</v>
      </c>
      <c r="CO13" s="91">
        <v>45732</v>
      </c>
      <c r="CP13" s="91">
        <v>45733</v>
      </c>
      <c r="CQ13" s="91">
        <v>45734</v>
      </c>
      <c r="CR13" s="91">
        <v>45735</v>
      </c>
      <c r="CS13" s="91">
        <v>45736</v>
      </c>
      <c r="CT13" s="91">
        <v>45737</v>
      </c>
      <c r="CU13" s="91">
        <v>45738</v>
      </c>
      <c r="CV13" s="91">
        <v>45739</v>
      </c>
      <c r="CW13" s="91">
        <v>45740</v>
      </c>
      <c r="CX13" s="91">
        <v>45741</v>
      </c>
      <c r="CY13" s="91">
        <v>45742</v>
      </c>
      <c r="CZ13" s="91">
        <v>45743</v>
      </c>
      <c r="DA13" s="91">
        <v>45744</v>
      </c>
      <c r="DB13" s="91">
        <v>45745</v>
      </c>
      <c r="DC13" s="91">
        <v>45746</v>
      </c>
      <c r="DD13" s="92">
        <v>45747</v>
      </c>
      <c r="DE13" s="91">
        <v>45748</v>
      </c>
      <c r="DF13" s="92">
        <v>45749</v>
      </c>
      <c r="DG13" s="91">
        <v>45750</v>
      </c>
      <c r="DH13" s="92">
        <v>45751</v>
      </c>
      <c r="DI13" s="91">
        <v>45752</v>
      </c>
      <c r="DJ13" s="92">
        <v>45753</v>
      </c>
      <c r="DK13" s="91">
        <v>45754</v>
      </c>
      <c r="DL13" s="92">
        <v>45755</v>
      </c>
      <c r="DM13" s="91">
        <v>45756</v>
      </c>
      <c r="DN13" s="92">
        <v>45757</v>
      </c>
      <c r="DO13" s="91">
        <v>45758</v>
      </c>
      <c r="DP13" s="92">
        <v>45759</v>
      </c>
      <c r="DQ13" s="91">
        <v>45760</v>
      </c>
      <c r="DR13" s="92">
        <v>45761</v>
      </c>
      <c r="DS13" s="91">
        <v>45762</v>
      </c>
      <c r="DT13" s="92">
        <v>45763</v>
      </c>
      <c r="DU13" s="91">
        <v>45764</v>
      </c>
      <c r="DV13" s="92">
        <v>45765</v>
      </c>
      <c r="DW13" s="91">
        <v>45766</v>
      </c>
      <c r="DX13" s="92">
        <v>45767</v>
      </c>
      <c r="DY13" s="91">
        <v>45768</v>
      </c>
      <c r="DZ13" s="92">
        <v>45769</v>
      </c>
      <c r="EA13" s="91">
        <v>45770</v>
      </c>
      <c r="EB13" s="92">
        <v>45771</v>
      </c>
      <c r="EC13" s="91">
        <v>45772</v>
      </c>
      <c r="ED13" s="92">
        <v>45773</v>
      </c>
      <c r="EE13" s="91">
        <v>45774</v>
      </c>
      <c r="EF13" s="92">
        <v>45775</v>
      </c>
      <c r="EG13" s="91">
        <v>45776</v>
      </c>
      <c r="EH13" s="93">
        <v>45777</v>
      </c>
      <c r="EI13" s="117">
        <v>45778</v>
      </c>
      <c r="EJ13" s="64">
        <v>45779</v>
      </c>
      <c r="EK13" s="63">
        <v>45780</v>
      </c>
      <c r="EL13" s="64">
        <v>45781</v>
      </c>
      <c r="EM13" s="63">
        <v>45782</v>
      </c>
      <c r="EN13" s="64">
        <v>45783</v>
      </c>
      <c r="EO13" s="117">
        <v>45784</v>
      </c>
      <c r="EP13" s="64">
        <v>45785</v>
      </c>
      <c r="EQ13" s="63">
        <v>45786</v>
      </c>
      <c r="ER13" s="64">
        <v>45787</v>
      </c>
      <c r="ES13" s="63">
        <v>45788</v>
      </c>
      <c r="ET13" s="64">
        <v>45789</v>
      </c>
      <c r="EU13" s="117">
        <v>45790</v>
      </c>
      <c r="EV13" s="64">
        <v>45791</v>
      </c>
      <c r="EW13" s="63">
        <v>45792</v>
      </c>
      <c r="EX13" s="64">
        <v>45793</v>
      </c>
      <c r="EY13" s="63">
        <v>45794</v>
      </c>
      <c r="EZ13" s="64">
        <v>45795</v>
      </c>
      <c r="FA13" s="117">
        <v>45796</v>
      </c>
      <c r="FB13" s="64">
        <v>45797</v>
      </c>
      <c r="FC13" s="63">
        <v>45798</v>
      </c>
      <c r="FD13" s="64">
        <v>45799</v>
      </c>
      <c r="FE13" s="63">
        <v>45800</v>
      </c>
      <c r="FF13" s="117">
        <v>45801</v>
      </c>
      <c r="FG13" s="64">
        <v>45802</v>
      </c>
      <c r="FH13" s="63">
        <v>45803</v>
      </c>
      <c r="FI13" s="64">
        <v>45804</v>
      </c>
      <c r="FJ13" s="63">
        <v>45805</v>
      </c>
      <c r="FK13" s="64">
        <v>45806</v>
      </c>
      <c r="FL13" s="117">
        <v>45807</v>
      </c>
      <c r="FM13" s="64">
        <v>45808</v>
      </c>
      <c r="FN13" s="64">
        <v>45809</v>
      </c>
      <c r="FO13" s="64">
        <v>45810</v>
      </c>
      <c r="FP13" s="64">
        <v>45811</v>
      </c>
      <c r="FQ13" s="64">
        <v>45812</v>
      </c>
      <c r="FR13" s="64">
        <v>45813</v>
      </c>
      <c r="FS13" s="64">
        <v>45814</v>
      </c>
      <c r="FT13" s="64">
        <v>45815</v>
      </c>
      <c r="FU13" s="64">
        <v>45816</v>
      </c>
      <c r="FV13" s="64">
        <v>45817</v>
      </c>
      <c r="FW13" s="64">
        <v>45818</v>
      </c>
      <c r="FX13" s="64">
        <v>45819</v>
      </c>
      <c r="FY13" s="64">
        <v>45820</v>
      </c>
      <c r="FZ13" s="64">
        <v>45821</v>
      </c>
      <c r="GA13" s="64">
        <v>45822</v>
      </c>
      <c r="GB13" s="64">
        <v>45823</v>
      </c>
      <c r="GC13" s="64">
        <v>45824</v>
      </c>
      <c r="GD13" s="64">
        <v>45825</v>
      </c>
      <c r="GE13" s="64">
        <v>45826</v>
      </c>
      <c r="GF13" s="64">
        <v>45827</v>
      </c>
      <c r="GG13" s="64">
        <v>45828</v>
      </c>
      <c r="GH13" s="64">
        <v>45829</v>
      </c>
      <c r="GI13" s="64">
        <v>45830</v>
      </c>
      <c r="GJ13" s="64">
        <v>45831</v>
      </c>
      <c r="GK13" s="64">
        <v>45832</v>
      </c>
      <c r="GL13" s="64">
        <v>45833</v>
      </c>
      <c r="GM13" s="64">
        <v>45834</v>
      </c>
      <c r="GN13" s="64">
        <v>45835</v>
      </c>
      <c r="GO13" s="64">
        <v>45836</v>
      </c>
      <c r="GP13" s="64">
        <v>45837</v>
      </c>
      <c r="GQ13" s="64">
        <v>45838</v>
      </c>
      <c r="GR13" s="64">
        <v>45839</v>
      </c>
      <c r="GS13" s="64">
        <v>45840</v>
      </c>
      <c r="GT13" s="64">
        <v>45841</v>
      </c>
      <c r="GU13" s="64">
        <v>45842</v>
      </c>
      <c r="GV13" s="64">
        <v>45843</v>
      </c>
      <c r="GW13" s="64">
        <v>45844</v>
      </c>
      <c r="GX13" s="64">
        <v>45845</v>
      </c>
      <c r="GY13" s="64">
        <v>45846</v>
      </c>
      <c r="GZ13" s="64">
        <v>45847</v>
      </c>
      <c r="HA13" s="64">
        <v>45848</v>
      </c>
      <c r="HB13" s="64">
        <v>45849</v>
      </c>
      <c r="HC13" s="64">
        <v>45850</v>
      </c>
      <c r="HD13" s="64">
        <v>45851</v>
      </c>
      <c r="HE13" s="64">
        <v>45852</v>
      </c>
      <c r="HF13" s="64">
        <v>45853</v>
      </c>
      <c r="HG13" s="64">
        <v>45854</v>
      </c>
      <c r="HH13" s="64">
        <v>45855</v>
      </c>
      <c r="HI13" s="64">
        <v>45856</v>
      </c>
      <c r="HJ13" s="64">
        <v>45857</v>
      </c>
      <c r="HK13" s="64">
        <v>45858</v>
      </c>
      <c r="HL13" s="64">
        <v>45859</v>
      </c>
      <c r="HM13" s="64">
        <v>45860</v>
      </c>
      <c r="HN13" s="64">
        <v>45861</v>
      </c>
      <c r="HO13" s="64">
        <v>45862</v>
      </c>
      <c r="HP13" s="64">
        <v>45863</v>
      </c>
      <c r="HQ13" s="64">
        <v>45864</v>
      </c>
      <c r="HR13" s="64">
        <v>45865</v>
      </c>
      <c r="HS13" s="64">
        <v>45866</v>
      </c>
      <c r="HT13" s="64">
        <v>45867</v>
      </c>
      <c r="HU13" s="64">
        <v>45868</v>
      </c>
      <c r="HV13" s="64">
        <v>45869</v>
      </c>
      <c r="HW13" s="64">
        <v>45870</v>
      </c>
      <c r="HX13" s="64">
        <v>45871</v>
      </c>
      <c r="HY13" s="64">
        <v>45872</v>
      </c>
      <c r="HZ13" s="64">
        <v>45873</v>
      </c>
      <c r="IA13" s="64">
        <v>45874</v>
      </c>
      <c r="IB13" s="64">
        <v>45875</v>
      </c>
      <c r="IC13" s="64">
        <v>45876</v>
      </c>
      <c r="ID13" s="64">
        <v>45877</v>
      </c>
      <c r="IE13" s="64">
        <v>45878</v>
      </c>
      <c r="IF13" s="64">
        <v>45879</v>
      </c>
      <c r="IG13" s="64">
        <v>45880</v>
      </c>
      <c r="IH13" s="64">
        <v>45881</v>
      </c>
      <c r="II13" s="64">
        <v>45882</v>
      </c>
      <c r="IJ13" s="64">
        <v>45883</v>
      </c>
      <c r="IK13" s="64">
        <v>45884</v>
      </c>
      <c r="IL13" s="64">
        <v>45885</v>
      </c>
      <c r="IM13" s="64">
        <v>45886</v>
      </c>
      <c r="IN13" s="64">
        <v>45887</v>
      </c>
      <c r="IO13" s="64">
        <v>45888</v>
      </c>
      <c r="IP13" s="64">
        <v>45889</v>
      </c>
      <c r="IQ13" s="64">
        <v>45890</v>
      </c>
      <c r="IR13" s="64">
        <v>45891</v>
      </c>
      <c r="IS13" s="64">
        <v>45892</v>
      </c>
      <c r="IT13" s="64">
        <v>45893</v>
      </c>
      <c r="IU13" s="64">
        <v>45894</v>
      </c>
      <c r="IV13" s="64">
        <v>45895</v>
      </c>
      <c r="IW13" s="64">
        <v>45896</v>
      </c>
      <c r="IX13" s="64">
        <v>45897</v>
      </c>
      <c r="IY13" s="64">
        <v>45898</v>
      </c>
      <c r="IZ13" s="64">
        <v>45899</v>
      </c>
      <c r="JA13" s="64">
        <v>45900</v>
      </c>
      <c r="JB13" s="64">
        <v>45901</v>
      </c>
      <c r="JC13" s="64">
        <v>45902</v>
      </c>
      <c r="JD13" s="64">
        <v>45903</v>
      </c>
      <c r="JE13" s="64">
        <v>45904</v>
      </c>
      <c r="JF13" s="64">
        <v>45905</v>
      </c>
      <c r="JG13" s="64">
        <v>45906</v>
      </c>
      <c r="JH13" s="64">
        <v>45907</v>
      </c>
      <c r="JI13" s="64">
        <v>45908</v>
      </c>
      <c r="JJ13" s="64">
        <v>45909</v>
      </c>
      <c r="JK13" s="64">
        <v>45910</v>
      </c>
      <c r="JL13" s="64">
        <v>45911</v>
      </c>
      <c r="JM13" s="64">
        <v>45912</v>
      </c>
      <c r="JN13" s="64">
        <v>45913</v>
      </c>
      <c r="JO13" s="64">
        <v>45914</v>
      </c>
      <c r="JP13" s="64">
        <v>45915</v>
      </c>
      <c r="JQ13" s="64">
        <v>45916</v>
      </c>
      <c r="JR13" s="64">
        <v>45917</v>
      </c>
      <c r="JS13" s="64">
        <v>45918</v>
      </c>
      <c r="JT13" s="64">
        <v>45919</v>
      </c>
      <c r="JU13" s="64">
        <v>45920</v>
      </c>
      <c r="JV13" s="64">
        <v>45921</v>
      </c>
      <c r="JW13" s="64">
        <v>45922</v>
      </c>
      <c r="JX13" s="64">
        <v>45923</v>
      </c>
      <c r="JY13" s="64">
        <v>45924</v>
      </c>
      <c r="JZ13" s="64">
        <v>45925</v>
      </c>
      <c r="KA13" s="64">
        <v>45926</v>
      </c>
      <c r="KB13" s="64">
        <v>45927</v>
      </c>
      <c r="KC13" s="64">
        <v>45928</v>
      </c>
      <c r="KD13" s="64">
        <v>45929</v>
      </c>
      <c r="KE13" s="64">
        <v>45930</v>
      </c>
      <c r="KF13" s="64">
        <v>45931</v>
      </c>
      <c r="KG13" s="64">
        <v>45932</v>
      </c>
      <c r="KH13" s="64">
        <v>45933</v>
      </c>
      <c r="KI13" s="64">
        <v>45934</v>
      </c>
      <c r="KJ13" s="64">
        <v>45935</v>
      </c>
      <c r="KK13" s="64">
        <v>45936</v>
      </c>
      <c r="KL13" s="64">
        <v>45937</v>
      </c>
      <c r="KM13" s="64">
        <v>45938</v>
      </c>
      <c r="KN13" s="64">
        <v>45939</v>
      </c>
      <c r="KO13" s="64">
        <v>45940</v>
      </c>
      <c r="KP13" s="64">
        <v>45941</v>
      </c>
      <c r="KQ13" s="64">
        <v>45942</v>
      </c>
      <c r="KR13" s="64">
        <v>45943</v>
      </c>
      <c r="KS13" s="64">
        <v>45944</v>
      </c>
      <c r="KT13" s="64">
        <v>45945</v>
      </c>
      <c r="KU13" s="64">
        <v>45946</v>
      </c>
      <c r="KV13" s="64">
        <v>45947</v>
      </c>
      <c r="KW13" s="64">
        <v>45948</v>
      </c>
      <c r="KX13" s="64">
        <v>45949</v>
      </c>
      <c r="KY13" s="64">
        <v>45950</v>
      </c>
      <c r="KZ13" s="64">
        <v>45951</v>
      </c>
      <c r="LA13" s="64">
        <v>45952</v>
      </c>
      <c r="LB13" s="64">
        <v>45953</v>
      </c>
      <c r="LC13" s="64">
        <v>45954</v>
      </c>
      <c r="LD13" s="64">
        <v>45955</v>
      </c>
      <c r="LE13" s="64">
        <v>45956</v>
      </c>
      <c r="LF13" s="64">
        <v>45957</v>
      </c>
      <c r="LG13" s="64">
        <v>45958</v>
      </c>
      <c r="LH13" s="64">
        <v>45959</v>
      </c>
      <c r="LI13" s="64">
        <v>45960</v>
      </c>
      <c r="LJ13" s="64">
        <v>45961</v>
      </c>
      <c r="LK13" s="64">
        <v>45962</v>
      </c>
      <c r="LL13" s="64">
        <v>45963</v>
      </c>
      <c r="LM13" s="64">
        <v>45964</v>
      </c>
      <c r="LN13" s="64">
        <v>45965</v>
      </c>
      <c r="LO13" s="64">
        <v>45966</v>
      </c>
      <c r="LP13" s="64">
        <v>45967</v>
      </c>
      <c r="LQ13" s="64">
        <v>45968</v>
      </c>
      <c r="LR13" s="64">
        <v>45969</v>
      </c>
      <c r="LS13" s="64">
        <v>45970</v>
      </c>
      <c r="LT13" s="64">
        <v>45971</v>
      </c>
      <c r="LU13" s="64">
        <v>45972</v>
      </c>
      <c r="LV13" s="64">
        <v>45973</v>
      </c>
      <c r="LW13" s="64">
        <v>45974</v>
      </c>
      <c r="LX13" s="64">
        <v>45975</v>
      </c>
      <c r="LY13" s="64">
        <v>45976</v>
      </c>
      <c r="LZ13" s="64">
        <v>45977</v>
      </c>
      <c r="MA13" s="64">
        <v>45978</v>
      </c>
      <c r="MB13" s="64">
        <v>45979</v>
      </c>
      <c r="MC13" s="64">
        <v>45980</v>
      </c>
      <c r="MD13" s="64">
        <v>45981</v>
      </c>
      <c r="ME13" s="64">
        <v>45982</v>
      </c>
      <c r="MF13" s="64">
        <v>45983</v>
      </c>
      <c r="MG13" s="64">
        <v>45984</v>
      </c>
      <c r="MH13" s="64">
        <v>45985</v>
      </c>
      <c r="MI13" s="64">
        <v>45986</v>
      </c>
      <c r="MJ13" s="64">
        <v>45987</v>
      </c>
      <c r="MK13" s="64">
        <v>45988</v>
      </c>
      <c r="ML13" s="64">
        <v>45989</v>
      </c>
      <c r="MM13" s="64">
        <v>45990</v>
      </c>
      <c r="MN13" s="64">
        <v>45991</v>
      </c>
      <c r="MO13" s="64">
        <v>45992</v>
      </c>
      <c r="MP13" s="64">
        <v>45993</v>
      </c>
      <c r="MQ13" s="64">
        <v>45994</v>
      </c>
      <c r="MR13" s="64">
        <v>45995</v>
      </c>
      <c r="MS13" s="64">
        <v>45996</v>
      </c>
      <c r="MT13" s="64">
        <v>45997</v>
      </c>
      <c r="MU13" s="64">
        <v>45998</v>
      </c>
      <c r="MV13" s="64">
        <v>45999</v>
      </c>
      <c r="MW13" s="64">
        <v>46000</v>
      </c>
      <c r="MX13" s="64">
        <v>46001</v>
      </c>
      <c r="MY13" s="64">
        <v>46002</v>
      </c>
      <c r="MZ13" s="64">
        <v>46003</v>
      </c>
      <c r="NA13" s="64">
        <v>46004</v>
      </c>
      <c r="NB13" s="64">
        <v>46005</v>
      </c>
      <c r="NC13" s="64">
        <v>46006</v>
      </c>
      <c r="ND13" s="64">
        <v>46007</v>
      </c>
      <c r="NE13" s="64">
        <v>46008</v>
      </c>
      <c r="NF13" s="64">
        <v>46009</v>
      </c>
      <c r="NG13" s="64">
        <v>46010</v>
      </c>
      <c r="NH13" s="64">
        <v>46011</v>
      </c>
      <c r="NI13" s="64">
        <v>46012</v>
      </c>
      <c r="NJ13" s="64">
        <v>46013</v>
      </c>
      <c r="NK13" s="64">
        <v>46014</v>
      </c>
      <c r="NL13" s="64">
        <v>46015</v>
      </c>
      <c r="NM13" s="64">
        <v>46016</v>
      </c>
      <c r="NN13" s="64">
        <v>46017</v>
      </c>
      <c r="NO13" s="64">
        <v>46018</v>
      </c>
      <c r="NP13" s="64">
        <v>46019</v>
      </c>
      <c r="NQ13" s="64">
        <v>46020</v>
      </c>
      <c r="NR13" s="64">
        <v>46021</v>
      </c>
      <c r="NS13" s="64">
        <v>46022</v>
      </c>
      <c r="OP13" s="64">
        <v>46023</v>
      </c>
      <c r="OQ13" s="64">
        <v>46024</v>
      </c>
      <c r="OR13" s="64">
        <v>46025</v>
      </c>
      <c r="OS13" s="64">
        <v>46026</v>
      </c>
      <c r="OT13" s="64">
        <v>46027</v>
      </c>
      <c r="OU13" s="64">
        <v>46028</v>
      </c>
      <c r="OV13" s="64">
        <v>46029</v>
      </c>
      <c r="OW13" s="64">
        <v>46030</v>
      </c>
      <c r="OX13" s="64">
        <v>46031</v>
      </c>
      <c r="OY13" s="64">
        <v>46032</v>
      </c>
      <c r="OZ13" s="64">
        <v>46033</v>
      </c>
      <c r="PA13" s="64">
        <v>46034</v>
      </c>
      <c r="PB13" s="64">
        <v>46035</v>
      </c>
      <c r="PC13" s="64">
        <v>46036</v>
      </c>
      <c r="PD13" s="64">
        <v>46037</v>
      </c>
      <c r="PE13" s="64">
        <v>46038</v>
      </c>
      <c r="PF13" s="64">
        <v>46039</v>
      </c>
      <c r="PG13" s="64">
        <v>46040</v>
      </c>
      <c r="PH13" s="64">
        <v>46041</v>
      </c>
      <c r="PI13" s="64">
        <v>46042</v>
      </c>
      <c r="PJ13" s="64">
        <v>46043</v>
      </c>
      <c r="PK13" s="64">
        <v>46044</v>
      </c>
      <c r="PL13" s="64">
        <v>46045</v>
      </c>
      <c r="PM13" s="64">
        <v>46046</v>
      </c>
      <c r="PN13" s="64">
        <v>46047</v>
      </c>
      <c r="PO13" s="64">
        <v>46048</v>
      </c>
      <c r="PP13" s="64">
        <v>46049</v>
      </c>
      <c r="PQ13" s="64">
        <v>46050</v>
      </c>
      <c r="PR13" s="64">
        <v>46051</v>
      </c>
      <c r="PS13" s="64">
        <v>46052</v>
      </c>
      <c r="PT13" s="64">
        <v>46053</v>
      </c>
      <c r="PU13" s="64">
        <v>46054</v>
      </c>
      <c r="PV13" s="64">
        <v>46055</v>
      </c>
      <c r="PW13" s="64">
        <v>46056</v>
      </c>
      <c r="PX13" s="64">
        <v>46057</v>
      </c>
      <c r="PY13" s="64">
        <v>46058</v>
      </c>
      <c r="PZ13" s="64">
        <v>46059</v>
      </c>
      <c r="QA13" s="64">
        <v>46060</v>
      </c>
      <c r="QB13" s="64">
        <v>46061</v>
      </c>
      <c r="QC13" s="64">
        <v>46062</v>
      </c>
      <c r="QD13" s="64">
        <v>46063</v>
      </c>
      <c r="QE13" s="64">
        <v>46064</v>
      </c>
      <c r="QF13" s="64">
        <v>46065</v>
      </c>
      <c r="QG13" s="64">
        <v>46066</v>
      </c>
      <c r="QH13" s="64">
        <v>46067</v>
      </c>
      <c r="QI13" s="64">
        <v>46068</v>
      </c>
      <c r="QJ13" s="64">
        <v>46069</v>
      </c>
      <c r="QK13" s="64">
        <v>46070</v>
      </c>
      <c r="QL13" s="64">
        <v>46071</v>
      </c>
      <c r="QM13" s="64">
        <v>46072</v>
      </c>
      <c r="QN13" s="64">
        <v>46073</v>
      </c>
      <c r="QO13" s="64">
        <v>46074</v>
      </c>
      <c r="QP13" s="64">
        <v>46075</v>
      </c>
      <c r="QQ13" s="64">
        <v>46076</v>
      </c>
      <c r="QR13" s="64">
        <v>46077</v>
      </c>
      <c r="QS13" s="64">
        <v>46078</v>
      </c>
      <c r="QT13" s="64">
        <v>46079</v>
      </c>
      <c r="QU13" s="64">
        <v>46080</v>
      </c>
      <c r="QV13" s="64">
        <v>46081</v>
      </c>
      <c r="QW13" s="64">
        <v>46082</v>
      </c>
      <c r="QX13" s="64">
        <v>46083</v>
      </c>
      <c r="QY13" s="64">
        <v>46084</v>
      </c>
      <c r="QZ13" s="64">
        <v>46085</v>
      </c>
      <c r="RA13" s="64">
        <v>46086</v>
      </c>
      <c r="RB13" s="64">
        <v>46087</v>
      </c>
      <c r="RC13" s="64">
        <v>46088</v>
      </c>
      <c r="RD13" s="64">
        <v>46089</v>
      </c>
      <c r="RE13" s="64">
        <v>46090</v>
      </c>
      <c r="RF13" s="64">
        <v>46091</v>
      </c>
      <c r="RG13" s="64">
        <v>46092</v>
      </c>
      <c r="RH13" s="64">
        <v>46093</v>
      </c>
      <c r="RI13" s="64">
        <v>46094</v>
      </c>
      <c r="RJ13" s="64">
        <v>46095</v>
      </c>
      <c r="RK13" s="64">
        <v>46096</v>
      </c>
      <c r="RL13" s="64">
        <v>46097</v>
      </c>
      <c r="RM13" s="64">
        <v>46098</v>
      </c>
      <c r="RN13" s="64">
        <v>46099</v>
      </c>
      <c r="RO13" s="64">
        <v>46100</v>
      </c>
      <c r="RP13" s="64">
        <v>46101</v>
      </c>
      <c r="RQ13" s="64">
        <v>46102</v>
      </c>
      <c r="RR13" s="64">
        <v>46103</v>
      </c>
      <c r="RS13" s="64">
        <v>46104</v>
      </c>
      <c r="RT13" s="64">
        <v>46105</v>
      </c>
      <c r="RU13" s="64">
        <v>46106</v>
      </c>
      <c r="RV13" s="64">
        <v>46107</v>
      </c>
      <c r="RW13" s="64">
        <v>46108</v>
      </c>
      <c r="RX13" s="64">
        <v>46109</v>
      </c>
      <c r="RY13" s="64">
        <v>46110</v>
      </c>
      <c r="RZ13" s="64">
        <v>46111</v>
      </c>
      <c r="SA13" s="64">
        <v>46112</v>
      </c>
      <c r="SB13" s="64">
        <v>46113</v>
      </c>
      <c r="SC13" s="64">
        <v>46114</v>
      </c>
      <c r="SD13" s="64">
        <v>46115</v>
      </c>
      <c r="SE13" s="64">
        <v>46116</v>
      </c>
      <c r="SF13" s="64">
        <v>46117</v>
      </c>
      <c r="SG13" s="64">
        <v>46118</v>
      </c>
      <c r="SH13" s="64">
        <v>46119</v>
      </c>
      <c r="SI13" s="64">
        <v>46120</v>
      </c>
      <c r="SJ13" s="64">
        <v>46121</v>
      </c>
      <c r="SK13" s="64">
        <v>46122</v>
      </c>
      <c r="SL13" s="64">
        <v>46123</v>
      </c>
      <c r="SM13" s="64">
        <v>46124</v>
      </c>
      <c r="SN13" s="64">
        <v>46125</v>
      </c>
      <c r="SO13" s="64">
        <v>46126</v>
      </c>
      <c r="SP13" s="64">
        <v>46127</v>
      </c>
      <c r="SQ13" s="64">
        <v>46128</v>
      </c>
      <c r="SR13" s="64">
        <v>46129</v>
      </c>
      <c r="SS13" s="64">
        <v>46130</v>
      </c>
      <c r="ST13" s="64">
        <v>46131</v>
      </c>
      <c r="SU13" s="64">
        <v>46132</v>
      </c>
      <c r="SV13" s="64">
        <v>46133</v>
      </c>
      <c r="SW13" s="64">
        <v>46134</v>
      </c>
      <c r="SX13" s="64">
        <v>46135</v>
      </c>
      <c r="SY13" s="64">
        <v>46136</v>
      </c>
      <c r="SZ13" s="64">
        <v>46137</v>
      </c>
      <c r="TA13" s="64">
        <v>46138</v>
      </c>
      <c r="TB13" s="64">
        <v>46139</v>
      </c>
      <c r="TC13" s="64">
        <v>46140</v>
      </c>
      <c r="TD13" s="64">
        <v>46141</v>
      </c>
      <c r="TE13" s="64">
        <v>46142</v>
      </c>
      <c r="TF13" s="64">
        <v>46143</v>
      </c>
      <c r="TG13" s="64">
        <v>46144</v>
      </c>
      <c r="TH13" s="64">
        <v>46145</v>
      </c>
      <c r="TI13" s="64">
        <v>46146</v>
      </c>
      <c r="TJ13" s="64">
        <v>46147</v>
      </c>
      <c r="TK13" s="64">
        <v>46148</v>
      </c>
      <c r="TL13" s="64">
        <v>46149</v>
      </c>
      <c r="TM13" s="64">
        <v>46150</v>
      </c>
      <c r="TN13" s="64">
        <v>46151</v>
      </c>
      <c r="TO13" s="64">
        <v>46152</v>
      </c>
      <c r="TP13" s="64">
        <v>46153</v>
      </c>
      <c r="TQ13" s="64">
        <v>46154</v>
      </c>
      <c r="TR13" s="64">
        <v>46155</v>
      </c>
      <c r="TS13" s="64">
        <v>46156</v>
      </c>
      <c r="TT13" s="64">
        <v>46157</v>
      </c>
      <c r="TU13" s="64">
        <v>46158</v>
      </c>
      <c r="TV13" s="64">
        <v>46159</v>
      </c>
      <c r="TW13" s="64">
        <v>46160</v>
      </c>
      <c r="TX13" s="64">
        <v>46161</v>
      </c>
      <c r="TY13" s="64">
        <v>46162</v>
      </c>
      <c r="TZ13" s="64">
        <v>46163</v>
      </c>
      <c r="UA13" s="64">
        <v>46164</v>
      </c>
      <c r="UB13" s="64">
        <v>46165</v>
      </c>
      <c r="UC13" s="64">
        <v>46166</v>
      </c>
      <c r="UD13" s="64">
        <v>46167</v>
      </c>
      <c r="UE13" s="64">
        <v>46168</v>
      </c>
      <c r="UF13" s="64">
        <v>46169</v>
      </c>
      <c r="UG13" s="64">
        <v>46170</v>
      </c>
      <c r="UH13" s="64">
        <v>46171</v>
      </c>
      <c r="UI13" s="64">
        <v>46172</v>
      </c>
      <c r="UJ13" s="64">
        <v>46173</v>
      </c>
      <c r="UK13" s="64">
        <v>46174</v>
      </c>
      <c r="UL13" s="64">
        <v>46175</v>
      </c>
      <c r="UM13" s="64">
        <v>46176</v>
      </c>
      <c r="UN13" s="64">
        <v>46177</v>
      </c>
      <c r="UO13" s="64">
        <v>46178</v>
      </c>
      <c r="UP13" s="64">
        <v>46179</v>
      </c>
      <c r="UQ13" s="64">
        <v>46180</v>
      </c>
      <c r="UR13" s="64">
        <v>46181</v>
      </c>
      <c r="US13" s="64">
        <v>46182</v>
      </c>
      <c r="UT13" s="64">
        <v>46183</v>
      </c>
      <c r="UU13" s="64">
        <v>46184</v>
      </c>
      <c r="UV13" s="64">
        <v>46185</v>
      </c>
      <c r="UW13" s="64">
        <v>46186</v>
      </c>
      <c r="UX13" s="64">
        <v>46187</v>
      </c>
      <c r="UY13" s="64">
        <v>46188</v>
      </c>
      <c r="UZ13" s="64">
        <v>46189</v>
      </c>
      <c r="VA13" s="64">
        <v>46190</v>
      </c>
      <c r="VB13" s="64">
        <v>46191</v>
      </c>
      <c r="VC13" s="64">
        <v>46192</v>
      </c>
      <c r="VD13" s="64">
        <v>46193</v>
      </c>
      <c r="VE13" s="64">
        <v>46194</v>
      </c>
      <c r="VF13" s="64">
        <v>46195</v>
      </c>
      <c r="VG13" s="64">
        <v>46196</v>
      </c>
      <c r="VH13" s="64">
        <v>46197</v>
      </c>
      <c r="VI13" s="64">
        <v>46198</v>
      </c>
      <c r="VJ13" s="64">
        <v>46199</v>
      </c>
      <c r="VK13" s="64">
        <v>46200</v>
      </c>
      <c r="VL13" s="64">
        <v>46201</v>
      </c>
      <c r="VM13" s="64">
        <v>46202</v>
      </c>
      <c r="VN13" s="64">
        <v>46203</v>
      </c>
      <c r="VO13" s="64">
        <v>46204</v>
      </c>
      <c r="VP13" s="64">
        <v>46205</v>
      </c>
      <c r="VQ13" s="64">
        <v>46206</v>
      </c>
      <c r="VR13" s="64">
        <v>46207</v>
      </c>
      <c r="VS13" s="64">
        <v>46208</v>
      </c>
      <c r="VT13" s="64">
        <v>46209</v>
      </c>
      <c r="VU13" s="64">
        <v>46210</v>
      </c>
      <c r="VV13" s="64">
        <v>46211</v>
      </c>
      <c r="VW13" s="64">
        <v>46212</v>
      </c>
      <c r="VX13" s="64">
        <v>46213</v>
      </c>
      <c r="VY13" s="64">
        <v>46214</v>
      </c>
      <c r="VZ13" s="64">
        <v>46215</v>
      </c>
      <c r="WA13" s="64">
        <v>46216</v>
      </c>
      <c r="WB13" s="64">
        <v>46217</v>
      </c>
      <c r="WC13" s="64">
        <v>46218</v>
      </c>
      <c r="WD13" s="64">
        <v>46219</v>
      </c>
      <c r="WE13" s="64">
        <v>46220</v>
      </c>
      <c r="WF13" s="64">
        <v>46221</v>
      </c>
      <c r="WG13" s="64">
        <v>46222</v>
      </c>
      <c r="WH13" s="64">
        <v>46223</v>
      </c>
      <c r="WI13" s="64">
        <v>46224</v>
      </c>
      <c r="WJ13" s="64">
        <v>46225</v>
      </c>
      <c r="WK13" s="64">
        <v>46226</v>
      </c>
      <c r="WL13" s="64">
        <v>46227</v>
      </c>
      <c r="WM13" s="64">
        <v>46228</v>
      </c>
      <c r="WN13" s="64">
        <v>46229</v>
      </c>
      <c r="WO13" s="64">
        <v>46230</v>
      </c>
      <c r="WP13" s="64">
        <v>46231</v>
      </c>
      <c r="WQ13" s="64">
        <v>46232</v>
      </c>
      <c r="WR13" s="64">
        <v>46233</v>
      </c>
      <c r="WS13" s="64">
        <v>46234</v>
      </c>
      <c r="WT13" s="64">
        <v>46235</v>
      </c>
      <c r="WU13" s="64">
        <v>46236</v>
      </c>
      <c r="WV13" s="64">
        <v>46237</v>
      </c>
      <c r="WW13" s="64">
        <v>46238</v>
      </c>
      <c r="WX13" s="64">
        <v>46239</v>
      </c>
      <c r="WY13" s="64">
        <v>46240</v>
      </c>
      <c r="WZ13" s="64">
        <v>46241</v>
      </c>
      <c r="XA13" s="64">
        <v>46242</v>
      </c>
      <c r="XB13" s="64">
        <v>46243</v>
      </c>
      <c r="XC13" s="64">
        <v>46244</v>
      </c>
      <c r="XD13" s="64">
        <v>46245</v>
      </c>
      <c r="XE13" s="64">
        <v>46246</v>
      </c>
      <c r="XF13" s="64">
        <v>46247</v>
      </c>
      <c r="XG13" s="64">
        <v>46248</v>
      </c>
      <c r="XH13" s="64">
        <v>46249</v>
      </c>
      <c r="XI13" s="64">
        <v>46250</v>
      </c>
      <c r="XJ13" s="64">
        <v>46251</v>
      </c>
      <c r="XK13" s="64">
        <v>46252</v>
      </c>
      <c r="XL13" s="64">
        <v>46253</v>
      </c>
      <c r="XM13" s="64">
        <v>46254</v>
      </c>
      <c r="XN13" s="64">
        <v>46255</v>
      </c>
      <c r="XO13" s="64">
        <v>46256</v>
      </c>
      <c r="XP13" s="64">
        <v>46257</v>
      </c>
      <c r="XQ13" s="64">
        <v>46258</v>
      </c>
      <c r="XR13" s="64">
        <v>46259</v>
      </c>
      <c r="XS13" s="64">
        <v>46260</v>
      </c>
      <c r="XT13" s="64">
        <v>46261</v>
      </c>
      <c r="XU13" s="64">
        <v>46262</v>
      </c>
      <c r="XV13" s="64">
        <v>46263</v>
      </c>
      <c r="XW13" s="64">
        <v>46264</v>
      </c>
      <c r="XX13" s="64">
        <v>46265</v>
      </c>
      <c r="XY13" s="64">
        <v>46266</v>
      </c>
      <c r="XZ13" s="64">
        <v>46267</v>
      </c>
      <c r="YA13" s="64">
        <v>46268</v>
      </c>
      <c r="YB13" s="64">
        <v>46269</v>
      </c>
      <c r="YC13" s="64">
        <v>46270</v>
      </c>
      <c r="YD13" s="64">
        <v>46271</v>
      </c>
      <c r="YE13" s="64">
        <v>46272</v>
      </c>
      <c r="YF13" s="64">
        <v>46273</v>
      </c>
      <c r="YG13" s="64">
        <v>46274</v>
      </c>
      <c r="YH13" s="64">
        <v>46275</v>
      </c>
      <c r="YI13" s="64">
        <v>46276</v>
      </c>
      <c r="YJ13" s="64">
        <v>46277</v>
      </c>
      <c r="YK13" s="64">
        <v>46278</v>
      </c>
      <c r="YL13" s="64">
        <v>46279</v>
      </c>
      <c r="YM13" s="64">
        <v>46280</v>
      </c>
      <c r="YN13" s="64">
        <v>46281</v>
      </c>
      <c r="YO13" s="64">
        <v>46282</v>
      </c>
      <c r="YP13" s="64">
        <v>46283</v>
      </c>
      <c r="YQ13" s="64">
        <v>46284</v>
      </c>
      <c r="YR13" s="64">
        <v>46285</v>
      </c>
      <c r="YS13" s="64">
        <v>46286</v>
      </c>
      <c r="YT13" s="64">
        <v>46287</v>
      </c>
      <c r="YU13" s="64">
        <v>46288</v>
      </c>
      <c r="YV13" s="64">
        <v>46289</v>
      </c>
      <c r="YW13" s="64">
        <v>46290</v>
      </c>
      <c r="YX13" s="64">
        <v>46291</v>
      </c>
      <c r="YY13" s="64">
        <v>46292</v>
      </c>
      <c r="YZ13" s="64">
        <v>46293</v>
      </c>
      <c r="ZA13" s="64">
        <v>46294</v>
      </c>
      <c r="ZB13" s="64">
        <v>46295</v>
      </c>
      <c r="ZC13" s="64">
        <v>46296</v>
      </c>
      <c r="ZD13" s="64">
        <v>46297</v>
      </c>
      <c r="ZE13" s="64">
        <v>46298</v>
      </c>
      <c r="ZF13" s="64">
        <v>46299</v>
      </c>
      <c r="ZG13" s="64">
        <v>46300</v>
      </c>
      <c r="ZH13" s="64">
        <v>46301</v>
      </c>
      <c r="ZI13" s="64">
        <v>46302</v>
      </c>
      <c r="ZJ13" s="64">
        <v>46303</v>
      </c>
      <c r="ZK13" s="64">
        <v>46304</v>
      </c>
      <c r="ZL13" s="64">
        <v>46305</v>
      </c>
      <c r="ZM13" s="64">
        <v>46306</v>
      </c>
      <c r="ZN13" s="64">
        <v>46307</v>
      </c>
      <c r="ZO13" s="64">
        <v>46308</v>
      </c>
      <c r="ZP13" s="64">
        <v>46309</v>
      </c>
      <c r="ZQ13" s="64">
        <v>46310</v>
      </c>
      <c r="ZR13" s="64">
        <v>46311</v>
      </c>
      <c r="ZS13" s="64">
        <v>46312</v>
      </c>
      <c r="ZT13" s="64">
        <v>46313</v>
      </c>
      <c r="ZU13" s="64">
        <v>46314</v>
      </c>
      <c r="ZV13" s="64">
        <v>46315</v>
      </c>
      <c r="ZW13" s="64">
        <v>46316</v>
      </c>
      <c r="ZX13" s="64">
        <v>46317</v>
      </c>
      <c r="ZY13" s="64">
        <v>46318</v>
      </c>
      <c r="ZZ13" s="64">
        <v>46319</v>
      </c>
      <c r="AAA13" s="64">
        <v>46320</v>
      </c>
      <c r="AAB13" s="64">
        <v>46321</v>
      </c>
      <c r="AAC13" s="64">
        <v>46322</v>
      </c>
      <c r="AAD13" s="64">
        <v>46323</v>
      </c>
      <c r="AAE13" s="64">
        <v>46324</v>
      </c>
      <c r="AAF13" s="64">
        <v>46325</v>
      </c>
      <c r="AAG13" s="64">
        <v>46326</v>
      </c>
      <c r="AAH13" s="64">
        <v>46327</v>
      </c>
      <c r="AAI13" s="64">
        <v>46328</v>
      </c>
      <c r="AAJ13" s="64">
        <v>46329</v>
      </c>
      <c r="AAK13" s="64">
        <v>46330</v>
      </c>
      <c r="AAL13" s="64">
        <v>46331</v>
      </c>
      <c r="AAM13" s="64">
        <v>46332</v>
      </c>
      <c r="AAN13" s="64">
        <v>46333</v>
      </c>
      <c r="AAO13" s="64">
        <v>46334</v>
      </c>
      <c r="AAP13" s="64">
        <v>46335</v>
      </c>
      <c r="AAQ13" s="64">
        <v>46336</v>
      </c>
      <c r="AAR13" s="64">
        <v>46337</v>
      </c>
      <c r="AAS13" s="64">
        <v>46338</v>
      </c>
      <c r="AAT13" s="64">
        <v>46339</v>
      </c>
      <c r="AAU13" s="64">
        <v>46340</v>
      </c>
      <c r="AAV13" s="64">
        <v>46341</v>
      </c>
      <c r="AAW13" s="64">
        <v>46342</v>
      </c>
      <c r="AAX13" s="64">
        <v>46343</v>
      </c>
      <c r="AAY13" s="64">
        <v>46344</v>
      </c>
      <c r="AAZ13" s="64">
        <v>46345</v>
      </c>
      <c r="ABA13" s="64">
        <v>46346</v>
      </c>
      <c r="ABB13" s="64">
        <v>46347</v>
      </c>
      <c r="ABC13" s="64">
        <v>46348</v>
      </c>
      <c r="ABD13" s="64">
        <v>46349</v>
      </c>
      <c r="ABE13" s="64">
        <v>46350</v>
      </c>
      <c r="ABF13" s="64">
        <v>46351</v>
      </c>
      <c r="ABG13" s="64">
        <v>46352</v>
      </c>
      <c r="ABH13" s="64">
        <v>46353</v>
      </c>
      <c r="ABI13" s="64">
        <v>46354</v>
      </c>
      <c r="ABJ13" s="64">
        <v>46355</v>
      </c>
      <c r="ABK13" s="64">
        <v>46356</v>
      </c>
      <c r="ABL13" s="64">
        <v>46357</v>
      </c>
      <c r="ABM13" s="64">
        <v>46358</v>
      </c>
      <c r="ABN13" s="64">
        <v>46359</v>
      </c>
      <c r="ABO13" s="64">
        <v>46360</v>
      </c>
      <c r="ABP13" s="64">
        <v>46361</v>
      </c>
      <c r="ABQ13" s="64">
        <v>46362</v>
      </c>
      <c r="ABR13" s="64">
        <v>46363</v>
      </c>
      <c r="ABS13" s="64">
        <v>46364</v>
      </c>
      <c r="ABT13" s="64">
        <v>46365</v>
      </c>
      <c r="ABU13" s="64">
        <v>46366</v>
      </c>
      <c r="ABV13" s="64">
        <v>46367</v>
      </c>
      <c r="ABW13" s="64">
        <v>46368</v>
      </c>
      <c r="ABX13" s="64">
        <v>46369</v>
      </c>
      <c r="ABY13" s="64">
        <v>46370</v>
      </c>
      <c r="ABZ13" s="64">
        <v>46371</v>
      </c>
      <c r="ACA13" s="64">
        <v>46372</v>
      </c>
      <c r="ACB13" s="64">
        <v>46373</v>
      </c>
      <c r="ACC13" s="64">
        <v>46374</v>
      </c>
      <c r="ACD13" s="64">
        <v>46375</v>
      </c>
      <c r="ACE13" s="64">
        <v>46376</v>
      </c>
      <c r="ACF13" s="64">
        <v>46377</v>
      </c>
      <c r="ACG13" s="64">
        <v>46378</v>
      </c>
      <c r="ACH13" s="64">
        <v>46379</v>
      </c>
      <c r="ACI13" s="64">
        <v>46380</v>
      </c>
      <c r="ACJ13" s="64">
        <v>46381</v>
      </c>
      <c r="ACK13" s="64">
        <v>46382</v>
      </c>
      <c r="ACL13" s="64">
        <v>46383</v>
      </c>
      <c r="ACM13" s="64">
        <v>46384</v>
      </c>
      <c r="ACN13" s="64">
        <v>46385</v>
      </c>
      <c r="ACO13" s="64">
        <v>46386</v>
      </c>
      <c r="ACP13" s="64">
        <v>46387</v>
      </c>
    </row>
    <row r="14" spans="2:770">
      <c r="B14" s="459" t="s">
        <v>38</v>
      </c>
      <c r="C14" s="365" t="s">
        <v>39</v>
      </c>
      <c r="D14" s="50">
        <v>1801</v>
      </c>
      <c r="E14" s="262"/>
      <c r="F14" s="50">
        <v>6597</v>
      </c>
      <c r="G14" s="262"/>
      <c r="H14" s="262"/>
      <c r="I14" s="262"/>
      <c r="J14" s="262">
        <f>SUM(D14:I14)</f>
        <v>8398</v>
      </c>
      <c r="P14" s="189">
        <f>SUM(OP14:PT14)</f>
        <v>9575.1900000000023</v>
      </c>
      <c r="Q14" s="475" t="s">
        <v>46</v>
      </c>
      <c r="R14" s="476"/>
      <c r="S14" s="66">
        <f t="shared" ref="S14:BY14" si="37">SUM(S15:S17)</f>
        <v>0</v>
      </c>
      <c r="T14" s="65">
        <f t="shared" si="37"/>
        <v>0</v>
      </c>
      <c r="U14" s="66">
        <f t="shared" si="37"/>
        <v>0</v>
      </c>
      <c r="V14" s="65">
        <f t="shared" si="37"/>
        <v>0</v>
      </c>
      <c r="W14" s="66">
        <f t="shared" si="37"/>
        <v>0</v>
      </c>
      <c r="X14" s="65">
        <f t="shared" si="37"/>
        <v>0</v>
      </c>
      <c r="Y14" s="66">
        <f t="shared" si="37"/>
        <v>0</v>
      </c>
      <c r="Z14" s="65">
        <f t="shared" si="37"/>
        <v>0</v>
      </c>
      <c r="AA14" s="66">
        <f t="shared" si="37"/>
        <v>0</v>
      </c>
      <c r="AB14" s="65">
        <f t="shared" si="37"/>
        <v>0</v>
      </c>
      <c r="AC14" s="66">
        <f t="shared" si="37"/>
        <v>0</v>
      </c>
      <c r="AD14" s="65">
        <f t="shared" si="37"/>
        <v>0</v>
      </c>
      <c r="AE14" s="66">
        <f t="shared" si="37"/>
        <v>0</v>
      </c>
      <c r="AF14" s="65">
        <f t="shared" si="37"/>
        <v>0</v>
      </c>
      <c r="AG14" s="66">
        <f t="shared" si="37"/>
        <v>0</v>
      </c>
      <c r="AH14" s="65">
        <f t="shared" si="37"/>
        <v>0</v>
      </c>
      <c r="AI14" s="66">
        <f t="shared" si="37"/>
        <v>0</v>
      </c>
      <c r="AJ14" s="65">
        <f t="shared" si="37"/>
        <v>0</v>
      </c>
      <c r="AK14" s="66">
        <f t="shared" si="37"/>
        <v>0</v>
      </c>
      <c r="AL14" s="65">
        <f t="shared" si="37"/>
        <v>0</v>
      </c>
      <c r="AM14" s="66">
        <f t="shared" si="37"/>
        <v>0</v>
      </c>
      <c r="AN14" s="65">
        <f t="shared" si="37"/>
        <v>0</v>
      </c>
      <c r="AO14" s="66">
        <f t="shared" si="37"/>
        <v>0</v>
      </c>
      <c r="AP14" s="65">
        <f t="shared" si="37"/>
        <v>0</v>
      </c>
      <c r="AQ14" s="66">
        <f t="shared" si="37"/>
        <v>0</v>
      </c>
      <c r="AR14" s="65">
        <f t="shared" si="37"/>
        <v>0</v>
      </c>
      <c r="AS14" s="66">
        <f t="shared" si="37"/>
        <v>0</v>
      </c>
      <c r="AT14" s="65">
        <f t="shared" si="37"/>
        <v>0</v>
      </c>
      <c r="AU14" s="66">
        <f t="shared" si="37"/>
        <v>0</v>
      </c>
      <c r="AV14" s="65">
        <f t="shared" si="37"/>
        <v>0</v>
      </c>
      <c r="AW14" s="66">
        <f t="shared" si="37"/>
        <v>0</v>
      </c>
      <c r="AX14" s="65">
        <f t="shared" si="37"/>
        <v>0</v>
      </c>
      <c r="AY14" s="66">
        <f t="shared" si="37"/>
        <v>0</v>
      </c>
      <c r="AZ14" s="65">
        <f t="shared" si="37"/>
        <v>0</v>
      </c>
      <c r="BA14" s="66">
        <f t="shared" si="37"/>
        <v>0</v>
      </c>
      <c r="BB14" s="65">
        <f t="shared" si="37"/>
        <v>0</v>
      </c>
      <c r="BC14" s="66">
        <f t="shared" si="37"/>
        <v>0</v>
      </c>
      <c r="BD14" s="65">
        <f t="shared" si="37"/>
        <v>0</v>
      </c>
      <c r="BE14" s="66">
        <f t="shared" si="37"/>
        <v>0</v>
      </c>
      <c r="BF14" s="65">
        <f t="shared" si="37"/>
        <v>0</v>
      </c>
      <c r="BG14" s="66">
        <f t="shared" si="37"/>
        <v>0</v>
      </c>
      <c r="BH14" s="65">
        <f t="shared" si="37"/>
        <v>0</v>
      </c>
      <c r="BI14" s="66">
        <f t="shared" si="37"/>
        <v>0</v>
      </c>
      <c r="BJ14" s="65">
        <f t="shared" si="37"/>
        <v>0</v>
      </c>
      <c r="BK14" s="66">
        <f t="shared" si="37"/>
        <v>0</v>
      </c>
      <c r="BL14" s="65">
        <f t="shared" si="37"/>
        <v>0</v>
      </c>
      <c r="BM14" s="66">
        <f t="shared" si="37"/>
        <v>0</v>
      </c>
      <c r="BN14" s="65">
        <f t="shared" si="37"/>
        <v>0</v>
      </c>
      <c r="BO14" s="66">
        <f t="shared" si="37"/>
        <v>0</v>
      </c>
      <c r="BP14" s="65">
        <f t="shared" si="37"/>
        <v>0</v>
      </c>
      <c r="BQ14" s="66">
        <f t="shared" si="37"/>
        <v>0</v>
      </c>
      <c r="BR14" s="65">
        <f t="shared" si="37"/>
        <v>0</v>
      </c>
      <c r="BS14" s="66">
        <f t="shared" si="37"/>
        <v>0</v>
      </c>
      <c r="BT14" s="65">
        <f t="shared" si="37"/>
        <v>0</v>
      </c>
      <c r="BU14" s="66">
        <f t="shared" si="37"/>
        <v>0</v>
      </c>
      <c r="BV14" s="65">
        <f t="shared" si="37"/>
        <v>0</v>
      </c>
      <c r="BW14" s="66">
        <f t="shared" si="37"/>
        <v>0</v>
      </c>
      <c r="BX14" s="65">
        <f t="shared" si="37"/>
        <v>0</v>
      </c>
      <c r="BY14" s="66">
        <f t="shared" si="37"/>
        <v>0</v>
      </c>
      <c r="BZ14" s="65">
        <f>SUM(BZ15:BZ17)</f>
        <v>5081.3956272570213</v>
      </c>
      <c r="CA14" s="66">
        <f t="shared" ref="CA14:DD14" si="38">SUM(CA15:CA17)</f>
        <v>74.690127686152678</v>
      </c>
      <c r="CB14" s="66">
        <f t="shared" si="38"/>
        <v>875.09220687010406</v>
      </c>
      <c r="CC14" s="66">
        <f t="shared" si="38"/>
        <v>924.85287601965001</v>
      </c>
      <c r="CD14" s="66">
        <f t="shared" si="38"/>
        <v>1088.375118653415</v>
      </c>
      <c r="CE14" s="66">
        <f t="shared" si="38"/>
        <v>1102.8441687970826</v>
      </c>
      <c r="CF14" s="66">
        <f t="shared" si="38"/>
        <v>992.39996027446421</v>
      </c>
      <c r="CG14" s="66">
        <f t="shared" si="38"/>
        <v>780.33729858931861</v>
      </c>
      <c r="CH14" s="66">
        <f t="shared" si="38"/>
        <v>287.51606500000003</v>
      </c>
      <c r="CI14" s="66">
        <f t="shared" si="38"/>
        <v>1623.0561846844407</v>
      </c>
      <c r="CJ14" s="66">
        <f t="shared" si="38"/>
        <v>1414.9446601719192</v>
      </c>
      <c r="CK14" s="66">
        <f t="shared" si="38"/>
        <v>1172.6606755498667</v>
      </c>
      <c r="CL14" s="66">
        <f t="shared" si="38"/>
        <v>1215.943118989745</v>
      </c>
      <c r="CM14" s="66">
        <f t="shared" si="38"/>
        <v>1197.4416570946428</v>
      </c>
      <c r="CN14" s="66">
        <f t="shared" si="38"/>
        <v>897.8566537782483</v>
      </c>
      <c r="CO14" s="66">
        <f t="shared" si="38"/>
        <v>317.72912946358525</v>
      </c>
      <c r="CP14" s="66">
        <f t="shared" si="38"/>
        <v>1012.7627018926519</v>
      </c>
      <c r="CQ14" s="66">
        <f t="shared" si="38"/>
        <v>1073.2759323105247</v>
      </c>
      <c r="CR14" s="66">
        <f t="shared" si="38"/>
        <v>1051.8216564359818</v>
      </c>
      <c r="CS14" s="66">
        <f t="shared" si="38"/>
        <v>2046.4554575744555</v>
      </c>
      <c r="CT14" s="66">
        <f t="shared" si="38"/>
        <v>681.455190625569</v>
      </c>
      <c r="CU14" s="66">
        <f t="shared" si="38"/>
        <v>1390.2849005821331</v>
      </c>
      <c r="CV14" s="66">
        <f t="shared" si="38"/>
        <v>479.4205473066616</v>
      </c>
      <c r="CW14" s="66">
        <f t="shared" si="38"/>
        <v>770.52979195034527</v>
      </c>
      <c r="CX14" s="66">
        <f t="shared" si="38"/>
        <v>901.70502044202124</v>
      </c>
      <c r="CY14" s="66">
        <f t="shared" si="38"/>
        <v>806.88847799999996</v>
      </c>
      <c r="CZ14" s="66">
        <f t="shared" si="38"/>
        <v>583.72130000000004</v>
      </c>
      <c r="DA14" s="66">
        <f t="shared" si="38"/>
        <v>825.29674999999997</v>
      </c>
      <c r="DB14" s="66">
        <f t="shared" si="38"/>
        <v>1257.8</v>
      </c>
      <c r="DC14" s="66">
        <f t="shared" si="38"/>
        <v>456</v>
      </c>
      <c r="DD14" s="67">
        <f t="shared" si="38"/>
        <v>1057.425</v>
      </c>
      <c r="DE14" s="89">
        <f t="shared" ref="DE14:DF14" si="39">SUM(DE15:DE17)</f>
        <v>1106.668727</v>
      </c>
      <c r="DF14" s="89">
        <f>SUM(DF15:DF17)</f>
        <v>1313.1228120000001</v>
      </c>
      <c r="DG14" s="67">
        <f t="shared" ref="DG14:EH14" si="40">SUM(DG15:DG17)</f>
        <v>758.12053199999991</v>
      </c>
      <c r="DH14" s="67">
        <f t="shared" si="40"/>
        <v>686.05946500000005</v>
      </c>
      <c r="DI14" s="67">
        <f t="shared" si="40"/>
        <v>1135.767558</v>
      </c>
      <c r="DJ14" s="67">
        <f t="shared" si="40"/>
        <v>384.11834699999997</v>
      </c>
      <c r="DK14" s="67">
        <f t="shared" si="40"/>
        <v>481.25120199999998</v>
      </c>
      <c r="DL14" s="67">
        <f t="shared" si="40"/>
        <v>833.24915499999997</v>
      </c>
      <c r="DM14" s="67">
        <f t="shared" si="40"/>
        <v>715.17293799999993</v>
      </c>
      <c r="DN14" s="67">
        <f t="shared" si="40"/>
        <v>941.50864100000001</v>
      </c>
      <c r="DO14" s="67">
        <f t="shared" si="40"/>
        <v>1085.5426379999999</v>
      </c>
      <c r="DP14" s="67">
        <f t="shared" si="40"/>
        <v>1539.193338</v>
      </c>
      <c r="DQ14" s="67">
        <f t="shared" si="40"/>
        <v>489.11751900000002</v>
      </c>
      <c r="DR14" s="67">
        <f t="shared" si="40"/>
        <v>2544.2476389999997</v>
      </c>
      <c r="DS14" s="67">
        <f t="shared" si="40"/>
        <v>1303.5064</v>
      </c>
      <c r="DT14" s="67">
        <f t="shared" si="40"/>
        <v>955.23678199999995</v>
      </c>
      <c r="DU14" s="67">
        <f t="shared" si="40"/>
        <v>894.032467</v>
      </c>
      <c r="DV14" s="67">
        <f t="shared" si="40"/>
        <v>1193.5869010000001</v>
      </c>
      <c r="DW14" s="67">
        <f t="shared" si="40"/>
        <v>1461.20685</v>
      </c>
      <c r="DX14" s="67">
        <f t="shared" si="40"/>
        <v>523.255313</v>
      </c>
      <c r="DY14" s="67">
        <f t="shared" si="40"/>
        <v>517.45763899999997</v>
      </c>
      <c r="DZ14" s="67">
        <f t="shared" si="40"/>
        <v>2219.3276700000001</v>
      </c>
      <c r="EA14" s="67">
        <f t="shared" si="40"/>
        <v>1702.29486</v>
      </c>
      <c r="EB14" s="67">
        <f t="shared" si="40"/>
        <v>650.66638699999999</v>
      </c>
      <c r="EC14" s="67">
        <f t="shared" si="40"/>
        <v>869.47066599999994</v>
      </c>
      <c r="ED14" s="67">
        <f t="shared" si="40"/>
        <v>553.25559999999996</v>
      </c>
      <c r="EE14" s="67">
        <f t="shared" si="40"/>
        <v>263.12267499999996</v>
      </c>
      <c r="EF14" s="67">
        <f t="shared" si="40"/>
        <v>815.40313300000003</v>
      </c>
      <c r="EG14" s="67">
        <f t="shared" si="40"/>
        <v>520</v>
      </c>
      <c r="EH14" s="94">
        <f t="shared" si="40"/>
        <v>0</v>
      </c>
      <c r="EI14" s="94">
        <f t="shared" ref="EI14:FE14" si="41">SUM(EI15:EI17)</f>
        <v>237</v>
      </c>
      <c r="EJ14" s="94">
        <f t="shared" si="41"/>
        <v>750.8</v>
      </c>
      <c r="EK14" s="94">
        <f t="shared" si="41"/>
        <v>364.1</v>
      </c>
      <c r="EL14" s="94">
        <f t="shared" si="41"/>
        <v>424.6</v>
      </c>
      <c r="EM14" s="94">
        <f t="shared" si="41"/>
        <v>1750.33032</v>
      </c>
      <c r="EN14" s="94">
        <f t="shared" si="41"/>
        <v>1514.5</v>
      </c>
      <c r="EO14" s="94">
        <f t="shared" si="41"/>
        <v>742.63</v>
      </c>
      <c r="EP14" s="94">
        <f t="shared" si="41"/>
        <v>1337.4</v>
      </c>
      <c r="EQ14" s="94">
        <f t="shared" si="41"/>
        <v>1814.6</v>
      </c>
      <c r="ER14" s="94">
        <f t="shared" si="41"/>
        <v>1296.2</v>
      </c>
      <c r="ES14" s="94">
        <f t="shared" si="41"/>
        <v>551.79999999999995</v>
      </c>
      <c r="ET14" s="94">
        <f t="shared" si="41"/>
        <v>1233</v>
      </c>
      <c r="EU14" s="94">
        <f t="shared" si="41"/>
        <v>1370.43</v>
      </c>
      <c r="EV14" s="94">
        <f t="shared" si="41"/>
        <v>1005.8</v>
      </c>
      <c r="EW14" s="94">
        <f t="shared" si="41"/>
        <v>1099.8</v>
      </c>
      <c r="EX14" s="94">
        <f t="shared" si="41"/>
        <v>1141.5</v>
      </c>
      <c r="EY14" s="94">
        <f t="shared" si="41"/>
        <v>734.8</v>
      </c>
      <c r="EZ14" s="94">
        <f t="shared" si="41"/>
        <v>538.63</v>
      </c>
      <c r="FA14" s="94">
        <f t="shared" si="41"/>
        <v>1901.1</v>
      </c>
      <c r="FB14" s="94">
        <f t="shared" si="41"/>
        <v>791.5</v>
      </c>
      <c r="FC14" s="94">
        <f t="shared" si="41"/>
        <v>1342.1</v>
      </c>
      <c r="FD14" s="94">
        <f t="shared" si="41"/>
        <v>939.8</v>
      </c>
      <c r="FE14" s="94">
        <f t="shared" si="41"/>
        <v>866.9</v>
      </c>
      <c r="FF14" s="94">
        <f t="shared" ref="FF14:FH14" si="42">SUM(FF15:FF17)</f>
        <v>892.4</v>
      </c>
      <c r="FG14" s="94">
        <f t="shared" si="42"/>
        <v>1753</v>
      </c>
      <c r="FH14" s="94">
        <f t="shared" si="42"/>
        <v>1398.13</v>
      </c>
      <c r="FI14" s="94">
        <f t="shared" ref="FI14:FL14" si="43">SUM(FI15:FI17)</f>
        <v>367.8</v>
      </c>
      <c r="FJ14" s="94">
        <f t="shared" si="43"/>
        <v>906.9</v>
      </c>
      <c r="FK14" s="94">
        <f t="shared" si="43"/>
        <v>1012.4300000000001</v>
      </c>
      <c r="FL14" s="94">
        <f t="shared" si="43"/>
        <v>909.9</v>
      </c>
      <c r="FM14" s="94">
        <f t="shared" ref="FM14" si="44">SUM(FM15:FM17)</f>
        <v>1624.5</v>
      </c>
      <c r="FN14" s="94">
        <f>SUM(FN15:FN17)</f>
        <v>526.06184099999996</v>
      </c>
      <c r="FO14" s="94">
        <f>SUM(FO15:FO17)</f>
        <v>2139.8976109999999</v>
      </c>
      <c r="FP14" s="94">
        <f>SUM(FP15:FP17)</f>
        <v>933.79929800000002</v>
      </c>
      <c r="FQ14" s="94">
        <f t="shared" ref="FQ14:GQ14" si="45">SUM(FQ15:FQ17)</f>
        <v>926.67316600000004</v>
      </c>
      <c r="FR14" s="94">
        <f t="shared" si="45"/>
        <v>889.36079599999994</v>
      </c>
      <c r="FS14" s="94">
        <f t="shared" si="45"/>
        <v>1041.095926</v>
      </c>
      <c r="FT14" s="94">
        <f t="shared" si="45"/>
        <v>1022.547893</v>
      </c>
      <c r="FU14" s="94">
        <f t="shared" si="45"/>
        <v>569.83977500000003</v>
      </c>
      <c r="FV14" s="94">
        <f t="shared" si="45"/>
        <v>2177.971673</v>
      </c>
      <c r="FW14" s="94">
        <f t="shared" si="45"/>
        <v>1814.713019</v>
      </c>
      <c r="FX14" s="94">
        <f t="shared" si="45"/>
        <v>730.66961800000001</v>
      </c>
      <c r="FY14" s="94">
        <f t="shared" si="45"/>
        <v>998.93206899999996</v>
      </c>
      <c r="FZ14" s="94">
        <f t="shared" si="45"/>
        <v>1466.3492409999999</v>
      </c>
      <c r="GA14" s="94">
        <f t="shared" si="45"/>
        <v>992.92402700000002</v>
      </c>
      <c r="GB14" s="94">
        <f t="shared" si="45"/>
        <v>292.89424700000001</v>
      </c>
      <c r="GC14" s="94">
        <f t="shared" si="45"/>
        <v>1723.4051999999999</v>
      </c>
      <c r="GD14" s="94">
        <f t="shared" si="45"/>
        <v>928.30327999999997</v>
      </c>
      <c r="GE14" s="94">
        <f t="shared" si="45"/>
        <v>761.40450899999996</v>
      </c>
      <c r="GF14" s="94">
        <f t="shared" si="45"/>
        <v>689.26909899999998</v>
      </c>
      <c r="GG14" s="94">
        <f t="shared" si="45"/>
        <v>819.65941099999998</v>
      </c>
      <c r="GH14" s="94">
        <f t="shared" si="45"/>
        <v>460.33394599999997</v>
      </c>
      <c r="GI14" s="94">
        <f t="shared" si="45"/>
        <v>417.64710000000002</v>
      </c>
      <c r="GJ14" s="94">
        <f t="shared" si="45"/>
        <v>1195.8043</v>
      </c>
      <c r="GK14" s="94">
        <f t="shared" si="45"/>
        <v>1055.288176</v>
      </c>
      <c r="GL14" s="94">
        <f t="shared" si="45"/>
        <v>893.782015</v>
      </c>
      <c r="GM14" s="94">
        <f t="shared" si="45"/>
        <v>980.65531099999998</v>
      </c>
      <c r="GN14" s="94">
        <f t="shared" si="45"/>
        <v>2178.0571250000003</v>
      </c>
      <c r="GO14" s="94">
        <f t="shared" si="45"/>
        <v>762.85609700000009</v>
      </c>
      <c r="GP14" s="94">
        <f t="shared" si="45"/>
        <v>273.75634400000001</v>
      </c>
      <c r="GQ14" s="94">
        <f t="shared" si="45"/>
        <v>828.68531599999994</v>
      </c>
      <c r="GR14" s="94">
        <f t="shared" ref="GR14:HV14" si="46">SUM(GR15:GR17)</f>
        <v>2639.0770644299805</v>
      </c>
      <c r="GS14" s="94">
        <f t="shared" si="46"/>
        <v>500.5154</v>
      </c>
      <c r="GT14" s="94">
        <f t="shared" si="46"/>
        <v>2602.2536964547435</v>
      </c>
      <c r="GU14" s="94">
        <f t="shared" si="46"/>
        <v>860.81629074861473</v>
      </c>
      <c r="GV14" s="94">
        <f t="shared" si="46"/>
        <v>772.20089062026352</v>
      </c>
      <c r="GW14" s="94">
        <f t="shared" si="46"/>
        <v>157.32688300000001</v>
      </c>
      <c r="GX14" s="94">
        <f t="shared" si="46"/>
        <v>1268.9711419912696</v>
      </c>
      <c r="GY14" s="94">
        <f t="shared" si="46"/>
        <v>2075.6022423277018</v>
      </c>
      <c r="GZ14" s="94">
        <f t="shared" si="46"/>
        <v>1327.5622424274261</v>
      </c>
      <c r="HA14" s="94">
        <f t="shared" si="46"/>
        <v>791.31973999999991</v>
      </c>
      <c r="HB14" s="94">
        <f t="shared" si="46"/>
        <v>1067.4187919999999</v>
      </c>
      <c r="HC14" s="94">
        <f t="shared" si="46"/>
        <v>1281.2469150000002</v>
      </c>
      <c r="HD14" s="94">
        <f t="shared" si="46"/>
        <v>727.47277800000006</v>
      </c>
      <c r="HE14" s="94">
        <f t="shared" si="46"/>
        <v>1403.080755</v>
      </c>
      <c r="HF14" s="94">
        <f t="shared" si="46"/>
        <v>1455.3222049999999</v>
      </c>
      <c r="HG14" s="94">
        <f t="shared" si="46"/>
        <v>1227.8472830000001</v>
      </c>
      <c r="HH14" s="94">
        <f t="shared" si="46"/>
        <v>1209.033539</v>
      </c>
      <c r="HI14" s="94">
        <f t="shared" si="46"/>
        <v>986.46176800000001</v>
      </c>
      <c r="HJ14" s="94">
        <f t="shared" si="46"/>
        <v>1334.085116</v>
      </c>
      <c r="HK14" s="94">
        <f t="shared" si="46"/>
        <v>497.21158700000001</v>
      </c>
      <c r="HL14" s="94">
        <f t="shared" si="46"/>
        <v>1093.0838509999999</v>
      </c>
      <c r="HM14" s="94">
        <f t="shared" si="46"/>
        <v>1066.099567</v>
      </c>
      <c r="HN14" s="94">
        <f t="shared" si="46"/>
        <v>1770.221444</v>
      </c>
      <c r="HO14" s="94">
        <f t="shared" si="46"/>
        <v>978.47220700000003</v>
      </c>
      <c r="HP14" s="94">
        <f t="shared" si="46"/>
        <v>1164.1629579999999</v>
      </c>
      <c r="HQ14" s="94">
        <f t="shared" si="46"/>
        <v>734.62773900000002</v>
      </c>
      <c r="HR14" s="94">
        <f t="shared" si="46"/>
        <v>359.29255899999998</v>
      </c>
      <c r="HS14" s="94">
        <f t="shared" si="46"/>
        <v>710.22720000000004</v>
      </c>
      <c r="HT14" s="94">
        <f t="shared" si="46"/>
        <v>1006.2969999999999</v>
      </c>
      <c r="HU14" s="94">
        <f t="shared" si="46"/>
        <v>671.02320000000009</v>
      </c>
      <c r="HV14" s="94">
        <f t="shared" si="46"/>
        <v>1107.6257500000002</v>
      </c>
      <c r="HW14" s="94">
        <f t="shared" ref="HW14:IY14" si="47">SUM(HW15:HW17)</f>
        <v>1988.1103061764975</v>
      </c>
      <c r="HX14" s="94">
        <f t="shared" si="47"/>
        <v>3699.1305657905291</v>
      </c>
      <c r="HY14" s="94">
        <f t="shared" si="47"/>
        <v>1070.950789</v>
      </c>
      <c r="HZ14" s="94">
        <f t="shared" si="47"/>
        <v>1176.430123211017</v>
      </c>
      <c r="IA14" s="94">
        <f t="shared" si="47"/>
        <v>843.39997321915928</v>
      </c>
      <c r="IB14" s="94">
        <f t="shared" si="47"/>
        <v>2020.9229725399755</v>
      </c>
      <c r="IC14" s="94">
        <f t="shared" si="47"/>
        <v>599.91211011475673</v>
      </c>
      <c r="ID14" s="94">
        <f t="shared" si="47"/>
        <v>1956.7390505224535</v>
      </c>
      <c r="IE14" s="94">
        <f t="shared" si="47"/>
        <v>347.97</v>
      </c>
      <c r="IF14" s="94">
        <f t="shared" si="47"/>
        <v>675</v>
      </c>
      <c r="IG14" s="94">
        <f t="shared" si="47"/>
        <v>983.42768720611753</v>
      </c>
      <c r="IH14" s="94">
        <f t="shared" si="47"/>
        <v>675.32917670551024</v>
      </c>
      <c r="II14" s="94">
        <f t="shared" si="47"/>
        <v>3303.7641641120958</v>
      </c>
      <c r="IJ14" s="94">
        <f t="shared" si="47"/>
        <v>967.53632107126236</v>
      </c>
      <c r="IK14" s="94">
        <f t="shared" si="47"/>
        <v>1158.6110549244261</v>
      </c>
      <c r="IL14" s="94">
        <f t="shared" si="47"/>
        <v>505.29999999999995</v>
      </c>
      <c r="IM14" s="94">
        <f t="shared" si="47"/>
        <v>373</v>
      </c>
      <c r="IN14" s="94">
        <f t="shared" si="47"/>
        <v>1148.8429201575527</v>
      </c>
      <c r="IO14" s="94">
        <f t="shared" si="47"/>
        <v>1509.8123445341528</v>
      </c>
      <c r="IP14" s="94">
        <f t="shared" si="47"/>
        <v>596.05687039665679</v>
      </c>
      <c r="IQ14" s="94">
        <f t="shared" si="47"/>
        <v>1092.8635923178363</v>
      </c>
      <c r="IR14" s="94">
        <f t="shared" si="47"/>
        <v>605.37</v>
      </c>
      <c r="IS14" s="94">
        <f t="shared" si="47"/>
        <v>633.3306</v>
      </c>
      <c r="IT14" s="94">
        <f t="shared" si="47"/>
        <v>302</v>
      </c>
      <c r="IU14" s="94">
        <f t="shared" si="47"/>
        <v>624.66200000000003</v>
      </c>
      <c r="IV14" s="94">
        <f t="shared" si="47"/>
        <v>824.68499999999995</v>
      </c>
      <c r="IW14" s="94">
        <f t="shared" si="47"/>
        <v>1132.7829999999999</v>
      </c>
      <c r="IX14" s="94">
        <f t="shared" si="47"/>
        <v>1680.15515</v>
      </c>
      <c r="IY14" s="94">
        <f t="shared" si="47"/>
        <v>748.33500000000004</v>
      </c>
      <c r="IZ14" s="94">
        <f t="shared" ref="IZ14:JA14" si="48">SUM(IZ15:IZ17)</f>
        <v>503.2</v>
      </c>
      <c r="JA14" s="94">
        <f t="shared" si="48"/>
        <v>1601</v>
      </c>
      <c r="JB14" s="94">
        <f t="shared" ref="JB14:KE14" si="49">SUM(JB15:JB17)</f>
        <v>814.03483700000004</v>
      </c>
      <c r="JC14" s="94">
        <f t="shared" si="49"/>
        <v>266.63738799999999</v>
      </c>
      <c r="JD14" s="94">
        <f t="shared" si="49"/>
        <v>1386.8000451764594</v>
      </c>
      <c r="JE14" s="94">
        <f t="shared" si="49"/>
        <v>2289.7906879472803</v>
      </c>
      <c r="JF14" s="94">
        <f t="shared" si="49"/>
        <v>1955.3470015016221</v>
      </c>
      <c r="JG14" s="94">
        <f t="shared" si="49"/>
        <v>1066.328989084529</v>
      </c>
      <c r="JH14" s="94">
        <f t="shared" si="49"/>
        <v>165</v>
      </c>
      <c r="JI14" s="94">
        <f t="shared" si="49"/>
        <v>916.56518907463646</v>
      </c>
      <c r="JJ14" s="94">
        <f t="shared" si="49"/>
        <v>1087.4047380000002</v>
      </c>
      <c r="JK14" s="94">
        <f t="shared" si="49"/>
        <v>1196.0766655611023</v>
      </c>
      <c r="JL14" s="94">
        <f t="shared" si="49"/>
        <v>1867.0463979418578</v>
      </c>
      <c r="JM14" s="94">
        <f t="shared" si="49"/>
        <v>1043.2488939249713</v>
      </c>
      <c r="JN14" s="94">
        <f t="shared" si="49"/>
        <v>1465.4875620580733</v>
      </c>
      <c r="JO14" s="94">
        <f t="shared" si="49"/>
        <v>917.08387500000003</v>
      </c>
      <c r="JP14" s="94">
        <f t="shared" si="49"/>
        <v>810.60823800000003</v>
      </c>
      <c r="JQ14" s="94">
        <f t="shared" si="49"/>
        <v>750.12765005288077</v>
      </c>
      <c r="JR14" s="94">
        <f t="shared" si="49"/>
        <v>788.31078395928284</v>
      </c>
      <c r="JS14" s="94">
        <f t="shared" si="49"/>
        <v>787.94217263697146</v>
      </c>
      <c r="JT14" s="94">
        <f t="shared" si="49"/>
        <v>818.22840408033369</v>
      </c>
      <c r="JU14" s="94">
        <f t="shared" si="49"/>
        <v>1468.7265459999999</v>
      </c>
      <c r="JV14" s="94">
        <f t="shared" si="49"/>
        <v>459.51115500000003</v>
      </c>
      <c r="JW14" s="94">
        <f t="shared" si="49"/>
        <v>1076.2933870000002</v>
      </c>
      <c r="JX14" s="94">
        <f t="shared" si="49"/>
        <v>1323.0168610000001</v>
      </c>
      <c r="JY14" s="94">
        <f t="shared" si="49"/>
        <v>745.68070899999998</v>
      </c>
      <c r="JZ14" s="94">
        <f t="shared" si="49"/>
        <v>929.79689599999995</v>
      </c>
      <c r="KA14" s="94">
        <f t="shared" si="49"/>
        <v>626.98711299999991</v>
      </c>
      <c r="KB14" s="94">
        <f t="shared" si="49"/>
        <v>1197.2136369999998</v>
      </c>
      <c r="KC14" s="94">
        <f t="shared" si="49"/>
        <v>420.29079100000001</v>
      </c>
      <c r="KD14" s="94">
        <f t="shared" si="49"/>
        <v>837.60741799999994</v>
      </c>
      <c r="KE14" s="94">
        <f t="shared" si="49"/>
        <v>666.69178499999998</v>
      </c>
      <c r="KF14" s="94">
        <f t="shared" ref="KF14:LJ14" si="50">SUM(KF15:KF17)</f>
        <v>3476.4874179999997</v>
      </c>
      <c r="KG14" s="94">
        <f t="shared" si="50"/>
        <v>1198.7321079999999</v>
      </c>
      <c r="KH14" s="94">
        <f t="shared" si="50"/>
        <v>1102.2153390000001</v>
      </c>
      <c r="KI14" s="94">
        <f t="shared" si="50"/>
        <v>1100.8558130000001</v>
      </c>
      <c r="KJ14" s="94">
        <f t="shared" si="50"/>
        <v>865.21509100000003</v>
      </c>
      <c r="KK14" s="94">
        <f t="shared" si="50"/>
        <v>2348.9373770000002</v>
      </c>
      <c r="KL14" s="94">
        <f t="shared" si="50"/>
        <v>1034.0072809999999</v>
      </c>
      <c r="KM14" s="94">
        <f t="shared" si="50"/>
        <v>863.27333399999998</v>
      </c>
      <c r="KN14" s="94">
        <f t="shared" si="50"/>
        <v>1238.855317</v>
      </c>
      <c r="KO14" s="94">
        <f t="shared" si="50"/>
        <v>780.021702</v>
      </c>
      <c r="KP14" s="94">
        <f t="shared" si="50"/>
        <v>1038.5258800000001</v>
      </c>
      <c r="KQ14" s="94">
        <f t="shared" si="50"/>
        <v>892.36318700000004</v>
      </c>
      <c r="KR14" s="94">
        <f t="shared" si="50"/>
        <v>1598.069035</v>
      </c>
      <c r="KS14" s="94">
        <f t="shared" si="50"/>
        <v>1138.7483550000002</v>
      </c>
      <c r="KT14" s="94">
        <f t="shared" si="50"/>
        <v>1600.3014880000001</v>
      </c>
      <c r="KU14" s="94">
        <f t="shared" si="50"/>
        <v>1569.5057430000002</v>
      </c>
      <c r="KV14" s="94">
        <f t="shared" si="50"/>
        <v>1136.6598759999999</v>
      </c>
      <c r="KW14" s="94">
        <f t="shared" si="50"/>
        <v>1394.2073500000001</v>
      </c>
      <c r="KX14" s="94">
        <f t="shared" si="50"/>
        <v>628.99943400000006</v>
      </c>
      <c r="KY14" s="94">
        <f t="shared" si="50"/>
        <v>1390.9872250000001</v>
      </c>
      <c r="KZ14" s="94">
        <f t="shared" si="50"/>
        <v>1179.7595389999999</v>
      </c>
      <c r="LA14" s="94">
        <f t="shared" si="50"/>
        <v>797.14696600000002</v>
      </c>
      <c r="LB14" s="94">
        <f t="shared" si="50"/>
        <v>916.3450969999999</v>
      </c>
      <c r="LC14" s="94">
        <f t="shared" si="50"/>
        <v>897.52331800000002</v>
      </c>
      <c r="LD14" s="94">
        <f t="shared" si="50"/>
        <v>1712.217752</v>
      </c>
      <c r="LE14" s="94">
        <f t="shared" si="50"/>
        <v>489.44720699999999</v>
      </c>
      <c r="LF14" s="94">
        <f t="shared" si="50"/>
        <v>926.38561500000003</v>
      </c>
      <c r="LG14" s="94">
        <f t="shared" si="50"/>
        <v>2073.1849039999997</v>
      </c>
      <c r="LH14" s="94">
        <f t="shared" si="50"/>
        <v>335.27576499999998</v>
      </c>
      <c r="LI14" s="94">
        <f t="shared" si="50"/>
        <v>243.29985099999999</v>
      </c>
      <c r="LJ14" s="94">
        <f t="shared" si="50"/>
        <v>289.573622</v>
      </c>
      <c r="LK14" s="94">
        <f t="shared" ref="LK14:NS14" si="51">SUM(LK15:LK17)</f>
        <v>2946.930194</v>
      </c>
      <c r="LL14" s="94">
        <f t="shared" si="51"/>
        <v>507.74104199999999</v>
      </c>
      <c r="LM14" s="94">
        <f t="shared" si="51"/>
        <v>1254.4054329999999</v>
      </c>
      <c r="LN14" s="94">
        <f t="shared" si="51"/>
        <v>957.83072500000003</v>
      </c>
      <c r="LO14" s="94">
        <f t="shared" si="51"/>
        <v>906.38827000000003</v>
      </c>
      <c r="LP14" s="94">
        <f t="shared" si="51"/>
        <v>922.66946199999995</v>
      </c>
      <c r="LQ14" s="94">
        <f t="shared" si="51"/>
        <v>742.55049099999997</v>
      </c>
      <c r="LR14" s="94">
        <f t="shared" si="51"/>
        <v>1327.2304369999999</v>
      </c>
      <c r="LS14" s="94">
        <f t="shared" si="51"/>
        <v>353.14134100000001</v>
      </c>
      <c r="LT14" s="94">
        <f t="shared" si="51"/>
        <v>984.54245800000001</v>
      </c>
      <c r="LU14" s="94">
        <f t="shared" si="51"/>
        <v>3436.5952040000002</v>
      </c>
      <c r="LV14" s="94">
        <f t="shared" si="51"/>
        <v>1204.812684</v>
      </c>
      <c r="LW14" s="94">
        <f t="shared" si="51"/>
        <v>1017.8972960000001</v>
      </c>
      <c r="LX14" s="94">
        <f t="shared" si="51"/>
        <v>1030.525206</v>
      </c>
      <c r="LY14" s="94">
        <f t="shared" si="51"/>
        <v>1883.9132440000001</v>
      </c>
      <c r="LZ14" s="94">
        <f t="shared" si="51"/>
        <v>837.26163199999996</v>
      </c>
      <c r="MA14" s="94">
        <f t="shared" si="51"/>
        <v>1547.591171</v>
      </c>
      <c r="MB14" s="94">
        <f t="shared" si="51"/>
        <v>1415.1173859999999</v>
      </c>
      <c r="MC14" s="94">
        <f t="shared" si="51"/>
        <v>1357.216373</v>
      </c>
      <c r="MD14" s="94">
        <f t="shared" si="51"/>
        <v>1143.5824520000001</v>
      </c>
      <c r="ME14" s="94">
        <f t="shared" si="51"/>
        <v>1052.0360350000001</v>
      </c>
      <c r="MF14" s="94">
        <f t="shared" si="51"/>
        <v>2484.6268070000001</v>
      </c>
      <c r="MG14" s="94">
        <f t="shared" si="51"/>
        <v>1080.733956</v>
      </c>
      <c r="MH14" s="94">
        <f t="shared" si="51"/>
        <v>937.98549099999991</v>
      </c>
      <c r="MI14" s="94">
        <f t="shared" si="51"/>
        <v>1336.203086</v>
      </c>
      <c r="MJ14" s="94">
        <f t="shared" si="51"/>
        <v>975.53248099999996</v>
      </c>
      <c r="MK14" s="94">
        <f t="shared" si="51"/>
        <v>953.54918700000007</v>
      </c>
      <c r="ML14" s="94">
        <f t="shared" si="51"/>
        <v>1974.16003</v>
      </c>
      <c r="MM14" s="94">
        <f t="shared" si="51"/>
        <v>906.05662000000007</v>
      </c>
      <c r="MN14" s="94">
        <f t="shared" si="51"/>
        <v>485.27957000000004</v>
      </c>
      <c r="MO14" s="94">
        <f t="shared" si="51"/>
        <v>2345.70109</v>
      </c>
      <c r="MP14" s="94">
        <f t="shared" si="51"/>
        <v>1377.2884790000001</v>
      </c>
      <c r="MQ14" s="94">
        <f t="shared" si="51"/>
        <v>1407.6164490000001</v>
      </c>
      <c r="MR14" s="94">
        <f t="shared" si="51"/>
        <v>1018.563976</v>
      </c>
      <c r="MS14" s="94">
        <f t="shared" si="51"/>
        <v>1478.158224</v>
      </c>
      <c r="MT14" s="94">
        <f t="shared" si="51"/>
        <v>1072.8304520000002</v>
      </c>
      <c r="MU14" s="94">
        <f t="shared" si="51"/>
        <v>1009.3277130000001</v>
      </c>
      <c r="MV14" s="94">
        <f t="shared" si="51"/>
        <v>1611.2827130000001</v>
      </c>
      <c r="MW14" s="94">
        <f t="shared" si="51"/>
        <v>885.37262199999998</v>
      </c>
      <c r="MX14" s="94">
        <f t="shared" si="51"/>
        <v>1453.1478630000001</v>
      </c>
      <c r="MY14" s="94">
        <f t="shared" si="51"/>
        <v>672.52368700000011</v>
      </c>
      <c r="MZ14" s="94">
        <f t="shared" si="51"/>
        <v>1422.1341609999999</v>
      </c>
      <c r="NA14" s="94">
        <f t="shared" si="51"/>
        <v>1838.9092389999998</v>
      </c>
      <c r="NB14" s="94">
        <f t="shared" si="51"/>
        <v>437.07966899999997</v>
      </c>
      <c r="NC14" s="94">
        <f t="shared" si="51"/>
        <v>2124.2342840000001</v>
      </c>
      <c r="ND14" s="94">
        <f t="shared" si="51"/>
        <v>1302.01278</v>
      </c>
      <c r="NE14" s="94">
        <f t="shared" si="51"/>
        <v>1547.168128</v>
      </c>
      <c r="NF14" s="94">
        <f t="shared" si="51"/>
        <v>2082.1304250000003</v>
      </c>
      <c r="NG14" s="94">
        <f t="shared" si="51"/>
        <v>928.587267</v>
      </c>
      <c r="NH14" s="94">
        <f t="shared" si="51"/>
        <v>2025.1894130000001</v>
      </c>
      <c r="NI14" s="94">
        <f t="shared" si="51"/>
        <v>909.11615899999993</v>
      </c>
      <c r="NJ14" s="94">
        <f t="shared" si="51"/>
        <v>1130.0963710000001</v>
      </c>
      <c r="NK14" s="94">
        <f t="shared" si="51"/>
        <v>953.625224</v>
      </c>
      <c r="NL14" s="94">
        <f t="shared" si="51"/>
        <v>1043.43733</v>
      </c>
      <c r="NM14" s="94">
        <f t="shared" si="51"/>
        <v>1039.8102039999999</v>
      </c>
      <c r="NN14" s="94">
        <f t="shared" si="51"/>
        <v>809.39275700000007</v>
      </c>
      <c r="NO14" s="94">
        <f t="shared" si="51"/>
        <v>566.56256400000007</v>
      </c>
      <c r="NP14" s="94">
        <f t="shared" si="51"/>
        <v>395</v>
      </c>
      <c r="NQ14" s="94">
        <f t="shared" si="51"/>
        <v>765</v>
      </c>
      <c r="NR14" s="94">
        <f t="shared" si="51"/>
        <v>365</v>
      </c>
      <c r="NS14" s="94">
        <f t="shared" si="51"/>
        <v>245</v>
      </c>
      <c r="NW14" s="356" t="s">
        <v>47</v>
      </c>
      <c r="NX14" s="55">
        <f>NX4/10^9</f>
        <v>154.15767674099999</v>
      </c>
      <c r="NY14" s="55">
        <f>NY4/10^9</f>
        <v>173.59698487899999</v>
      </c>
      <c r="NZ14" s="55">
        <f>NZ4/10^9</f>
        <v>213.619803644</v>
      </c>
      <c r="OA14" s="55">
        <f>OA4/10^9</f>
        <v>192.385597636</v>
      </c>
      <c r="OB14" s="55">
        <f>OB4/10^9</f>
        <v>204.650015967</v>
      </c>
      <c r="OC14" s="55">
        <f>OC4/10^9</f>
        <v>201.739115263</v>
      </c>
      <c r="OD14" s="55">
        <f>OD4/10^9</f>
        <v>221.88021435499999</v>
      </c>
      <c r="OE14" s="55">
        <f>OE4/10^9</f>
        <v>210.35947444499999</v>
      </c>
      <c r="OF14" s="55">
        <f>OF4/10^9</f>
        <v>210.535471409</v>
      </c>
      <c r="OG14" s="55">
        <f>OG4/10^9</f>
        <v>238.74061446499999</v>
      </c>
      <c r="OH14" s="55">
        <f>OH4/10^9</f>
        <v>219.78332044999999</v>
      </c>
      <c r="OI14" s="55">
        <f>OI4/10^9</f>
        <v>233.01111314100001</v>
      </c>
      <c r="OJ14" s="55">
        <f>OJ4/10^9</f>
        <v>2474.4594023949999</v>
      </c>
      <c r="OK14" s="55">
        <f>OK4/10^9</f>
        <v>541.37446526400004</v>
      </c>
      <c r="OL14" s="55">
        <f>OL4/10^9</f>
        <v>598.77472886600003</v>
      </c>
      <c r="OM14" s="55">
        <f>OM4/10^9</f>
        <v>642.77516020899998</v>
      </c>
      <c r="ON14" s="55">
        <f>ON4/10^9</f>
        <v>691.53504805600005</v>
      </c>
      <c r="OP14" s="94">
        <f>OP18+OP22+OP26+OP30+OP38+OP34</f>
        <v>5045</v>
      </c>
      <c r="OQ14" s="94">
        <f t="shared" ref="OQ14:PT17" si="52">OQ18+OQ22+OQ26+OQ30+OQ38+OQ34</f>
        <v>784.8</v>
      </c>
      <c r="OR14" s="94">
        <f t="shared" si="52"/>
        <v>363.03</v>
      </c>
      <c r="OS14" s="94">
        <f t="shared" si="52"/>
        <v>6</v>
      </c>
      <c r="OT14" s="94">
        <f t="shared" si="52"/>
        <v>280.8</v>
      </c>
      <c r="OU14" s="94">
        <f t="shared" si="52"/>
        <v>500.75</v>
      </c>
      <c r="OV14" s="94">
        <f t="shared" si="52"/>
        <v>442.56</v>
      </c>
      <c r="OW14" s="94">
        <f t="shared" si="52"/>
        <v>585.13</v>
      </c>
      <c r="OX14" s="94">
        <f t="shared" si="52"/>
        <v>610.6</v>
      </c>
      <c r="OY14" s="94">
        <f t="shared" si="52"/>
        <v>501.7</v>
      </c>
      <c r="OZ14" s="94">
        <f t="shared" si="52"/>
        <v>29</v>
      </c>
      <c r="PA14" s="94">
        <f t="shared" si="52"/>
        <v>88.03</v>
      </c>
      <c r="PB14" s="94">
        <f t="shared" si="52"/>
        <v>106.03</v>
      </c>
      <c r="PC14" s="94">
        <f t="shared" si="52"/>
        <v>49.23</v>
      </c>
      <c r="PD14" s="94">
        <f t="shared" si="52"/>
        <v>40.700000000000003</v>
      </c>
      <c r="PE14" s="94">
        <f t="shared" si="52"/>
        <v>44.73</v>
      </c>
      <c r="PF14" s="94">
        <f t="shared" si="52"/>
        <v>42.1</v>
      </c>
      <c r="PG14" s="94">
        <f t="shared" si="52"/>
        <v>0</v>
      </c>
      <c r="PH14" s="94">
        <f t="shared" si="52"/>
        <v>55</v>
      </c>
      <c r="PI14" s="94">
        <f t="shared" si="52"/>
        <v>0</v>
      </c>
      <c r="PJ14" s="94">
        <f t="shared" si="52"/>
        <v>0</v>
      </c>
      <c r="PK14" s="94">
        <f t="shared" si="52"/>
        <v>0</v>
      </c>
      <c r="PL14" s="94">
        <f t="shared" si="52"/>
        <v>0</v>
      </c>
      <c r="PM14" s="94">
        <f t="shared" si="52"/>
        <v>0</v>
      </c>
      <c r="PN14" s="94">
        <f t="shared" si="52"/>
        <v>0</v>
      </c>
      <c r="PO14" s="94">
        <f t="shared" si="52"/>
        <v>0</v>
      </c>
      <c r="PP14" s="94">
        <f t="shared" si="52"/>
        <v>0</v>
      </c>
      <c r="PQ14" s="94">
        <f t="shared" si="52"/>
        <v>0</v>
      </c>
      <c r="PR14" s="94">
        <f t="shared" si="52"/>
        <v>0</v>
      </c>
      <c r="PS14" s="94">
        <f t="shared" si="52"/>
        <v>0</v>
      </c>
      <c r="PT14" s="94">
        <f t="shared" si="52"/>
        <v>0</v>
      </c>
    </row>
    <row r="15" spans="2:770">
      <c r="B15" s="459"/>
      <c r="C15" s="365" t="s">
        <v>40</v>
      </c>
      <c r="D15" s="50">
        <v>2890</v>
      </c>
      <c r="E15" s="262"/>
      <c r="F15" s="50">
        <v>15700</v>
      </c>
      <c r="G15" s="50">
        <v>8151.4513441706049</v>
      </c>
      <c r="H15" s="262"/>
      <c r="I15" s="50">
        <v>2600</v>
      </c>
      <c r="J15" s="262">
        <f>SUM(D15:I15)</f>
        <v>29341.451344170604</v>
      </c>
      <c r="P15" s="189">
        <f t="shared" ref="P15:P41" si="53">SUM(OP15:PT15)</f>
        <v>775</v>
      </c>
      <c r="Q15" s="477" t="s">
        <v>38</v>
      </c>
      <c r="R15" s="58" t="s">
        <v>39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95">
        <f>BZ19+BZ23+BZ27+BZ31+BZ35+BZ39</f>
        <v>1569.753612228521</v>
      </c>
      <c r="CA15" s="95">
        <f t="shared" ref="CA15:DD17" si="54">CA19+CA23+CA27+CA31+CA35+CA39</f>
        <v>7.5623636627510411</v>
      </c>
      <c r="CB15" s="95">
        <f t="shared" si="54"/>
        <v>56.421534893841731</v>
      </c>
      <c r="CC15" s="95">
        <f t="shared" si="54"/>
        <v>61.074909334321205</v>
      </c>
      <c r="CD15" s="95">
        <f t="shared" si="54"/>
        <v>56.606812803579132</v>
      </c>
      <c r="CE15" s="95">
        <f t="shared" si="54"/>
        <v>82.501606378782483</v>
      </c>
      <c r="CF15" s="95">
        <f t="shared" si="54"/>
        <v>96.76869864523141</v>
      </c>
      <c r="CG15" s="95">
        <f t="shared" si="54"/>
        <v>95.033703361904756</v>
      </c>
      <c r="CH15" s="95">
        <f t="shared" si="54"/>
        <v>0</v>
      </c>
      <c r="CI15" s="95">
        <f t="shared" si="54"/>
        <v>219.91030870430421</v>
      </c>
      <c r="CJ15" s="95">
        <f t="shared" si="54"/>
        <v>124.28744679731338</v>
      </c>
      <c r="CK15" s="95">
        <f t="shared" si="54"/>
        <v>146.17786798157454</v>
      </c>
      <c r="CL15" s="95">
        <f t="shared" si="54"/>
        <v>140.30856125406444</v>
      </c>
      <c r="CM15" s="95">
        <f t="shared" si="54"/>
        <v>114.63398875029617</v>
      </c>
      <c r="CN15" s="95">
        <f t="shared" si="54"/>
        <v>51.928230484223818</v>
      </c>
      <c r="CO15" s="95">
        <f t="shared" si="54"/>
        <v>28.989060707212328</v>
      </c>
      <c r="CP15" s="95">
        <f t="shared" si="54"/>
        <v>143.33710388348041</v>
      </c>
      <c r="CQ15" s="95">
        <f t="shared" si="54"/>
        <v>96.860014186459139</v>
      </c>
      <c r="CR15" s="95">
        <f t="shared" si="54"/>
        <v>90.784915377382461</v>
      </c>
      <c r="CS15" s="95">
        <f t="shared" si="54"/>
        <v>330.35681503150408</v>
      </c>
      <c r="CT15" s="95">
        <f t="shared" si="54"/>
        <v>62.371602623694251</v>
      </c>
      <c r="CU15" s="95">
        <f t="shared" si="54"/>
        <v>135.36630956324365</v>
      </c>
      <c r="CV15" s="95">
        <f t="shared" si="54"/>
        <v>32.770242538587851</v>
      </c>
      <c r="CW15" s="95">
        <f t="shared" si="54"/>
        <v>49.739455569313783</v>
      </c>
      <c r="CX15" s="95">
        <f t="shared" si="54"/>
        <v>114.44166523841297</v>
      </c>
      <c r="CY15" s="95">
        <f t="shared" si="54"/>
        <v>28.95</v>
      </c>
      <c r="CZ15" s="95">
        <f t="shared" si="54"/>
        <v>0</v>
      </c>
      <c r="DA15" s="95">
        <f t="shared" si="54"/>
        <v>84.896749999999997</v>
      </c>
      <c r="DB15" s="95">
        <f t="shared" si="54"/>
        <v>0</v>
      </c>
      <c r="DC15" s="95">
        <f t="shared" si="54"/>
        <v>0</v>
      </c>
      <c r="DD15" s="68">
        <f t="shared" si="54"/>
        <v>29.324999999999999</v>
      </c>
      <c r="DE15" s="96">
        <f t="shared" ref="DE15:EH15" si="55">DE19+DE23+DE27+DE31+DE35+DE39</f>
        <v>140.32105000000001</v>
      </c>
      <c r="DF15" s="96">
        <f t="shared" si="55"/>
        <v>324.37200000000001</v>
      </c>
      <c r="DG15" s="96">
        <f t="shared" si="55"/>
        <v>21.545000000000002</v>
      </c>
      <c r="DH15" s="96">
        <f t="shared" si="55"/>
        <v>81.653999999999996</v>
      </c>
      <c r="DI15" s="96">
        <f t="shared" si="55"/>
        <v>0</v>
      </c>
      <c r="DJ15" s="96">
        <f t="shared" si="55"/>
        <v>0</v>
      </c>
      <c r="DK15" s="96">
        <f t="shared" si="55"/>
        <v>0</v>
      </c>
      <c r="DL15" s="96">
        <f t="shared" si="55"/>
        <v>49.966999999999999</v>
      </c>
      <c r="DM15" s="96">
        <f t="shared" si="55"/>
        <v>18.477</v>
      </c>
      <c r="DN15" s="96">
        <f t="shared" si="55"/>
        <v>7.7949999999999999</v>
      </c>
      <c r="DO15" s="96">
        <f t="shared" si="55"/>
        <v>334.18650000000002</v>
      </c>
      <c r="DP15" s="96">
        <f t="shared" si="55"/>
        <v>568</v>
      </c>
      <c r="DQ15" s="96">
        <f t="shared" si="55"/>
        <v>0</v>
      </c>
      <c r="DR15" s="96">
        <f t="shared" si="55"/>
        <v>1794.5291999999999</v>
      </c>
      <c r="DS15" s="96">
        <f t="shared" si="55"/>
        <v>632.46600000000001</v>
      </c>
      <c r="DT15" s="96">
        <f t="shared" si="55"/>
        <v>114.0655</v>
      </c>
      <c r="DU15" s="96">
        <f t="shared" si="55"/>
        <v>60</v>
      </c>
      <c r="DV15" s="96">
        <f t="shared" si="55"/>
        <v>167.49199999999999</v>
      </c>
      <c r="DW15" s="96">
        <f t="shared" si="55"/>
        <v>54.204999999999998</v>
      </c>
      <c r="DX15" s="96">
        <f t="shared" si="55"/>
        <v>0</v>
      </c>
      <c r="DY15" s="96">
        <f t="shared" si="55"/>
        <v>0</v>
      </c>
      <c r="DZ15" s="96">
        <f t="shared" si="55"/>
        <v>864.33150000000001</v>
      </c>
      <c r="EA15" s="96">
        <f t="shared" si="55"/>
        <v>1090.23</v>
      </c>
      <c r="EB15" s="96">
        <f t="shared" si="55"/>
        <v>38.69</v>
      </c>
      <c r="EC15" s="96">
        <f t="shared" si="55"/>
        <v>80.760000000000005</v>
      </c>
      <c r="ED15" s="96">
        <f t="shared" si="55"/>
        <v>0</v>
      </c>
      <c r="EE15" s="96">
        <f t="shared" si="55"/>
        <v>0</v>
      </c>
      <c r="EF15" s="96">
        <f t="shared" si="55"/>
        <v>80.694999999999993</v>
      </c>
      <c r="EG15" s="96">
        <f t="shared" si="55"/>
        <v>30</v>
      </c>
      <c r="EH15" s="97">
        <f t="shared" si="55"/>
        <v>0</v>
      </c>
      <c r="EI15" s="97">
        <f t="shared" ref="EI15:FE15" si="56">EI19+EI23+EI27+EI31+EI35+EI39</f>
        <v>0</v>
      </c>
      <c r="EJ15" s="97">
        <f t="shared" si="56"/>
        <v>0</v>
      </c>
      <c r="EK15" s="97">
        <f t="shared" si="56"/>
        <v>0</v>
      </c>
      <c r="EL15" s="97">
        <f t="shared" si="56"/>
        <v>0</v>
      </c>
      <c r="EM15" s="97">
        <f t="shared" si="56"/>
        <v>844.33032000000003</v>
      </c>
      <c r="EN15" s="97">
        <f t="shared" si="56"/>
        <v>775</v>
      </c>
      <c r="EO15" s="97">
        <f t="shared" si="56"/>
        <v>0</v>
      </c>
      <c r="EP15" s="97">
        <f t="shared" si="56"/>
        <v>198</v>
      </c>
      <c r="EQ15" s="97">
        <f t="shared" si="56"/>
        <v>242</v>
      </c>
      <c r="ER15" s="97">
        <f t="shared" si="56"/>
        <v>0</v>
      </c>
      <c r="ES15" s="97">
        <f t="shared" si="56"/>
        <v>0</v>
      </c>
      <c r="ET15" s="97">
        <f t="shared" si="56"/>
        <v>257</v>
      </c>
      <c r="EU15" s="97">
        <f t="shared" si="56"/>
        <v>366</v>
      </c>
      <c r="EV15" s="97">
        <f t="shared" si="56"/>
        <v>308</v>
      </c>
      <c r="EW15" s="97">
        <f t="shared" si="56"/>
        <v>151</v>
      </c>
      <c r="EX15" s="97">
        <f t="shared" si="56"/>
        <v>116</v>
      </c>
      <c r="EY15" s="97">
        <f t="shared" si="56"/>
        <v>222</v>
      </c>
      <c r="EZ15" s="97">
        <f t="shared" si="56"/>
        <v>0</v>
      </c>
      <c r="FA15" s="97">
        <f t="shared" si="56"/>
        <v>71</v>
      </c>
      <c r="FB15" s="97">
        <f t="shared" si="56"/>
        <v>110</v>
      </c>
      <c r="FC15" s="97">
        <f t="shared" si="56"/>
        <v>333</v>
      </c>
      <c r="FD15" s="97">
        <f t="shared" si="56"/>
        <v>176</v>
      </c>
      <c r="FE15" s="97">
        <f t="shared" si="56"/>
        <v>0</v>
      </c>
      <c r="FF15" s="97">
        <f t="shared" ref="FF15:FH15" si="57">FF19+FF23+FF27+FF31+FF35+FF39</f>
        <v>103</v>
      </c>
      <c r="FG15" s="97">
        <f t="shared" si="57"/>
        <v>820</v>
      </c>
      <c r="FH15" s="97">
        <f t="shared" si="57"/>
        <v>388</v>
      </c>
      <c r="FI15" s="97">
        <f t="shared" ref="FI15:FL15" si="58">FI19+FI23+FI27+FI31+FI35+FI39</f>
        <v>0</v>
      </c>
      <c r="FJ15" s="97">
        <f t="shared" si="58"/>
        <v>60</v>
      </c>
      <c r="FK15" s="97">
        <f t="shared" si="58"/>
        <v>101</v>
      </c>
      <c r="FL15" s="97">
        <f t="shared" si="58"/>
        <v>172</v>
      </c>
      <c r="FM15" s="97">
        <f t="shared" ref="FM15" si="59">FM19+FM23+FM27+FM31+FM35+FM39</f>
        <v>292</v>
      </c>
      <c r="FN15" s="96">
        <f>FN19+FN23+FN27+FN31+FN35+FN39</f>
        <v>0</v>
      </c>
      <c r="FO15" s="96">
        <f t="shared" ref="FO15:GQ15" si="60">FO19+FO23+FO27+FO31+FO35+FO39</f>
        <v>1272.3815</v>
      </c>
      <c r="FP15" s="96">
        <f t="shared" si="60"/>
        <v>294.17874999999998</v>
      </c>
      <c r="FQ15" s="96">
        <f t="shared" si="60"/>
        <v>84.165499999999994</v>
      </c>
      <c r="FR15" s="96">
        <f t="shared" si="60"/>
        <v>155.23644999999999</v>
      </c>
      <c r="FS15" s="96">
        <f t="shared" si="60"/>
        <v>0</v>
      </c>
      <c r="FT15" s="96">
        <f t="shared" si="60"/>
        <v>0</v>
      </c>
      <c r="FU15" s="96">
        <f t="shared" si="60"/>
        <v>0</v>
      </c>
      <c r="FV15" s="96">
        <f>FV19+FV23+FV27+FV31+FV35+FV39</f>
        <v>495.50663600000001</v>
      </c>
      <c r="FW15" s="96">
        <f t="shared" ref="FW15:GQ15" si="61">FW19+FW23+FW27+FW31+FW35+FW39</f>
        <v>849.67274999999995</v>
      </c>
      <c r="FX15" s="96">
        <f t="shared" si="61"/>
        <v>0</v>
      </c>
      <c r="FY15" s="96">
        <f t="shared" si="61"/>
        <v>0</v>
      </c>
      <c r="FZ15" s="96">
        <f t="shared" si="61"/>
        <v>617.13049999999998</v>
      </c>
      <c r="GA15" s="96">
        <f t="shared" si="61"/>
        <v>109.83</v>
      </c>
      <c r="GB15" s="96">
        <f t="shared" si="61"/>
        <v>0</v>
      </c>
      <c r="GC15" s="96">
        <f t="shared" si="61"/>
        <v>11.16</v>
      </c>
      <c r="GD15" s="96">
        <f t="shared" si="61"/>
        <v>0</v>
      </c>
      <c r="GE15" s="96">
        <f t="shared" si="61"/>
        <v>65</v>
      </c>
      <c r="GF15" s="96">
        <f t="shared" si="61"/>
        <v>0</v>
      </c>
      <c r="GG15" s="96">
        <f t="shared" si="61"/>
        <v>0</v>
      </c>
      <c r="GH15" s="96">
        <f t="shared" si="61"/>
        <v>0</v>
      </c>
      <c r="GI15" s="96">
        <f t="shared" si="61"/>
        <v>0</v>
      </c>
      <c r="GJ15" s="96">
        <f t="shared" si="61"/>
        <v>152</v>
      </c>
      <c r="GK15" s="96">
        <f t="shared" si="61"/>
        <v>19</v>
      </c>
      <c r="GL15" s="195">
        <f t="shared" si="61"/>
        <v>109</v>
      </c>
      <c r="GM15" s="96">
        <f t="shared" si="61"/>
        <v>39</v>
      </c>
      <c r="GN15" s="96">
        <f t="shared" si="61"/>
        <v>0</v>
      </c>
      <c r="GO15" s="96">
        <f t="shared" si="61"/>
        <v>0</v>
      </c>
      <c r="GP15" s="96">
        <f t="shared" si="61"/>
        <v>0</v>
      </c>
      <c r="GQ15" s="96">
        <f t="shared" si="61"/>
        <v>78</v>
      </c>
      <c r="GR15" s="96">
        <f t="shared" ref="GR15:HV15" si="62">GR19+GR23+GR27+GR31+GR35+GR39</f>
        <v>662.01482842998053</v>
      </c>
      <c r="GS15" s="96">
        <f t="shared" si="62"/>
        <v>0</v>
      </c>
      <c r="GT15" s="96">
        <f t="shared" si="62"/>
        <v>2139.4951444547437</v>
      </c>
      <c r="GU15" s="96">
        <f t="shared" si="62"/>
        <v>212.61788774861466</v>
      </c>
      <c r="GV15" s="96">
        <f t="shared" si="62"/>
        <v>56.875575620263518</v>
      </c>
      <c r="GW15" s="96">
        <f t="shared" si="62"/>
        <v>0</v>
      </c>
      <c r="GX15" s="96">
        <f t="shared" si="62"/>
        <v>295.12525499126968</v>
      </c>
      <c r="GY15" s="96">
        <f t="shared" si="62"/>
        <v>606.49695632770181</v>
      </c>
      <c r="GZ15" s="96">
        <f t="shared" si="62"/>
        <v>363.53700242742616</v>
      </c>
      <c r="HA15" s="96">
        <f t="shared" si="62"/>
        <v>124</v>
      </c>
      <c r="HB15" s="96">
        <f t="shared" si="62"/>
        <v>0</v>
      </c>
      <c r="HC15" s="96">
        <f t="shared" si="62"/>
        <v>365.93180000000001</v>
      </c>
      <c r="HD15" s="96">
        <f t="shared" si="62"/>
        <v>0</v>
      </c>
      <c r="HE15" s="96">
        <f t="shared" si="62"/>
        <v>0</v>
      </c>
      <c r="HF15" s="96">
        <f t="shared" si="62"/>
        <v>420.29750000000001</v>
      </c>
      <c r="HG15" s="96">
        <f t="shared" si="62"/>
        <v>114.23699999999999</v>
      </c>
      <c r="HH15" s="96">
        <f t="shared" si="62"/>
        <v>218.64830000000001</v>
      </c>
      <c r="HI15" s="96">
        <f t="shared" si="62"/>
        <v>0</v>
      </c>
      <c r="HJ15" s="96">
        <f t="shared" si="62"/>
        <v>247.27775</v>
      </c>
      <c r="HK15" s="96">
        <f t="shared" si="62"/>
        <v>0</v>
      </c>
      <c r="HL15" s="96">
        <f t="shared" si="62"/>
        <v>145.2405</v>
      </c>
      <c r="HM15" s="96">
        <f t="shared" si="62"/>
        <v>251.9965</v>
      </c>
      <c r="HN15" s="96">
        <f t="shared" si="62"/>
        <v>0</v>
      </c>
      <c r="HO15" s="96">
        <f t="shared" si="62"/>
        <v>70.364999999999995</v>
      </c>
      <c r="HP15" s="96">
        <f t="shared" si="62"/>
        <v>195.47895</v>
      </c>
      <c r="HQ15" s="96">
        <f t="shared" si="62"/>
        <v>0</v>
      </c>
      <c r="HR15" s="96">
        <f t="shared" si="62"/>
        <v>0</v>
      </c>
      <c r="HS15" s="96">
        <f t="shared" si="62"/>
        <v>0</v>
      </c>
      <c r="HT15" s="96">
        <f t="shared" si="62"/>
        <v>385.2</v>
      </c>
      <c r="HU15" s="96">
        <f t="shared" si="62"/>
        <v>0</v>
      </c>
      <c r="HV15" s="96">
        <f t="shared" si="62"/>
        <v>297.70575000000002</v>
      </c>
      <c r="HW15" s="96">
        <f t="shared" ref="HW15:IY15" si="63">HW19+HW23+HW27+HW31+HW35+HW39</f>
        <v>608.11373317649736</v>
      </c>
      <c r="HX15" s="96">
        <f t="shared" si="63"/>
        <v>2912.1922557905291</v>
      </c>
      <c r="HY15" s="96">
        <f t="shared" si="63"/>
        <v>0</v>
      </c>
      <c r="HZ15" s="96">
        <f t="shared" si="63"/>
        <v>591.97347721101698</v>
      </c>
      <c r="IA15" s="96">
        <f t="shared" si="63"/>
        <v>211.84165121915927</v>
      </c>
      <c r="IB15" s="96">
        <f t="shared" si="63"/>
        <v>1258.1229725399755</v>
      </c>
      <c r="IC15" s="96">
        <f t="shared" si="63"/>
        <v>196.41211011475673</v>
      </c>
      <c r="ID15" s="96">
        <f t="shared" si="63"/>
        <v>1318.1390505224535</v>
      </c>
      <c r="IE15" s="96">
        <f t="shared" si="63"/>
        <v>0</v>
      </c>
      <c r="IF15" s="96">
        <f t="shared" si="63"/>
        <v>48</v>
      </c>
      <c r="IG15" s="96">
        <f t="shared" si="63"/>
        <v>181.63768720611753</v>
      </c>
      <c r="IH15" s="96">
        <f t="shared" si="63"/>
        <v>136.40917670551028</v>
      </c>
      <c r="II15" s="96">
        <f t="shared" si="63"/>
        <v>2688.4241641120957</v>
      </c>
      <c r="IJ15" s="96">
        <f t="shared" si="63"/>
        <v>397.07632107126233</v>
      </c>
      <c r="IK15" s="96">
        <f t="shared" si="63"/>
        <v>411.37105492442612</v>
      </c>
      <c r="IL15" s="96">
        <f t="shared" si="63"/>
        <v>0</v>
      </c>
      <c r="IM15" s="96">
        <f t="shared" si="63"/>
        <v>0</v>
      </c>
      <c r="IN15" s="96">
        <f t="shared" si="63"/>
        <v>528.82292015755274</v>
      </c>
      <c r="IO15" s="96">
        <f t="shared" si="63"/>
        <v>987.63234453415282</v>
      </c>
      <c r="IP15" s="96">
        <f t="shared" si="63"/>
        <v>67.416870396656776</v>
      </c>
      <c r="IQ15" s="96">
        <f t="shared" si="63"/>
        <v>405.69359231783636</v>
      </c>
      <c r="IR15" s="96">
        <f t="shared" si="63"/>
        <v>0</v>
      </c>
      <c r="IS15" s="96">
        <f t="shared" si="63"/>
        <v>127.8706</v>
      </c>
      <c r="IT15" s="96">
        <f t="shared" si="63"/>
        <v>0</v>
      </c>
      <c r="IU15" s="96">
        <f t="shared" si="63"/>
        <v>86.581999999999994</v>
      </c>
      <c r="IV15" s="96">
        <f t="shared" si="63"/>
        <v>65.834999999999994</v>
      </c>
      <c r="IW15" s="96">
        <f t="shared" si="63"/>
        <v>722.39300000000003</v>
      </c>
      <c r="IX15" s="96">
        <f t="shared" si="63"/>
        <v>985.91515000000004</v>
      </c>
      <c r="IY15" s="96">
        <f t="shared" si="63"/>
        <v>56.725000000000001</v>
      </c>
      <c r="IZ15" s="96">
        <f t="shared" ref="IZ15:JA15" si="64">IZ19+IZ23+IZ27+IZ31+IZ35+IZ39</f>
        <v>120</v>
      </c>
      <c r="JA15" s="96">
        <f t="shared" si="64"/>
        <v>0</v>
      </c>
      <c r="JB15" s="96">
        <f t="shared" ref="JB15:KE15" si="65">JB19+JB23+JB27+JB31+JB35+JB39</f>
        <v>0</v>
      </c>
      <c r="JC15" s="96">
        <f t="shared" si="65"/>
        <v>0</v>
      </c>
      <c r="JD15" s="96">
        <f t="shared" si="65"/>
        <v>660.77719017645938</v>
      </c>
      <c r="JE15" s="96">
        <f t="shared" si="65"/>
        <v>1446.1374519472802</v>
      </c>
      <c r="JF15" s="96">
        <f t="shared" si="65"/>
        <v>1195.2454975016221</v>
      </c>
      <c r="JG15" s="96">
        <f t="shared" si="65"/>
        <v>526.12402708452885</v>
      </c>
      <c r="JH15" s="96">
        <f t="shared" si="65"/>
        <v>0</v>
      </c>
      <c r="JI15" s="96">
        <f t="shared" si="65"/>
        <v>227.60723507463649</v>
      </c>
      <c r="JJ15" s="96">
        <f t="shared" si="65"/>
        <v>320</v>
      </c>
      <c r="JK15" s="96">
        <f t="shared" si="65"/>
        <v>351.07182256110246</v>
      </c>
      <c r="JL15" s="96">
        <f t="shared" si="65"/>
        <v>517.1498589418577</v>
      </c>
      <c r="JM15" s="96">
        <f t="shared" si="65"/>
        <v>25.869604924971238</v>
      </c>
      <c r="JN15" s="96">
        <f t="shared" si="65"/>
        <v>405.48795505807334</v>
      </c>
      <c r="JO15" s="96">
        <f t="shared" si="65"/>
        <v>0</v>
      </c>
      <c r="JP15" s="96">
        <f t="shared" si="65"/>
        <v>270</v>
      </c>
      <c r="JQ15" s="96">
        <f t="shared" si="65"/>
        <v>43.5026260528808</v>
      </c>
      <c r="JR15" s="96">
        <f t="shared" si="65"/>
        <v>61.415626959282854</v>
      </c>
      <c r="JS15" s="96">
        <f t="shared" si="65"/>
        <v>5.150223636971373</v>
      </c>
      <c r="JT15" s="96">
        <f t="shared" si="65"/>
        <v>16.460880080333691</v>
      </c>
      <c r="JU15" s="96">
        <f t="shared" si="65"/>
        <v>0</v>
      </c>
      <c r="JV15" s="96">
        <f t="shared" si="65"/>
        <v>0</v>
      </c>
      <c r="JW15" s="96">
        <f t="shared" si="65"/>
        <v>414</v>
      </c>
      <c r="JX15" s="96">
        <f t="shared" si="65"/>
        <v>17.600000000000001</v>
      </c>
      <c r="JY15" s="96">
        <f t="shared" si="65"/>
        <v>44.2211</v>
      </c>
      <c r="JZ15" s="96">
        <f t="shared" si="65"/>
        <v>0</v>
      </c>
      <c r="KA15" s="96">
        <f t="shared" si="65"/>
        <v>100.41500000000001</v>
      </c>
      <c r="KB15" s="96">
        <f t="shared" si="65"/>
        <v>176.18804499999999</v>
      </c>
      <c r="KC15" s="96">
        <f t="shared" si="65"/>
        <v>0</v>
      </c>
      <c r="KD15" s="96">
        <f t="shared" si="65"/>
        <v>20</v>
      </c>
      <c r="KE15" s="96">
        <f t="shared" si="65"/>
        <v>120</v>
      </c>
      <c r="KF15" s="96">
        <f t="shared" ref="KF15:LU15" si="66">KF19+KF23+KF27+KF31+KF35+KF39</f>
        <v>2168.6446999999998</v>
      </c>
      <c r="KG15" s="96">
        <f t="shared" si="66"/>
        <v>753.48699999999997</v>
      </c>
      <c r="KH15" s="96">
        <f t="shared" si="66"/>
        <v>223.60140000000001</v>
      </c>
      <c r="KI15" s="96">
        <f t="shared" si="66"/>
        <v>87.07</v>
      </c>
      <c r="KJ15" s="96">
        <f t="shared" si="66"/>
        <v>0</v>
      </c>
      <c r="KK15" s="96">
        <f t="shared" si="66"/>
        <v>1255.9760000000001</v>
      </c>
      <c r="KL15" s="96">
        <f t="shared" si="66"/>
        <v>92.075000000000003</v>
      </c>
      <c r="KM15" s="96">
        <f t="shared" si="66"/>
        <v>327.73820000000001</v>
      </c>
      <c r="KN15" s="96">
        <f t="shared" si="66"/>
        <v>414.63900000000001</v>
      </c>
      <c r="KO15" s="96">
        <f t="shared" si="66"/>
        <v>19.125</v>
      </c>
      <c r="KP15" s="96">
        <f t="shared" si="66"/>
        <v>0</v>
      </c>
      <c r="KQ15" s="96">
        <f t="shared" si="66"/>
        <v>0</v>
      </c>
      <c r="KR15" s="96">
        <f t="shared" si="66"/>
        <v>97.763999999999996</v>
      </c>
      <c r="KS15" s="96">
        <f t="shared" si="66"/>
        <v>201.364</v>
      </c>
      <c r="KT15" s="96">
        <f t="shared" si="66"/>
        <v>668.71</v>
      </c>
      <c r="KU15" s="96">
        <f t="shared" si="66"/>
        <v>601.81700000000001</v>
      </c>
      <c r="KV15" s="96">
        <f t="shared" si="66"/>
        <v>97.358500000000006</v>
      </c>
      <c r="KW15" s="96">
        <f t="shared" si="66"/>
        <v>0</v>
      </c>
      <c r="KX15" s="96">
        <f t="shared" si="66"/>
        <v>0</v>
      </c>
      <c r="KY15" s="96">
        <f t="shared" si="66"/>
        <v>29.995000000000001</v>
      </c>
      <c r="KZ15" s="96">
        <f t="shared" si="66"/>
        <v>163.755</v>
      </c>
      <c r="LA15" s="96">
        <f t="shared" si="66"/>
        <v>30.07</v>
      </c>
      <c r="LB15" s="96">
        <f t="shared" si="66"/>
        <v>33.5</v>
      </c>
      <c r="LC15" s="96">
        <f t="shared" si="66"/>
        <v>163.601</v>
      </c>
      <c r="LD15" s="96">
        <f t="shared" si="66"/>
        <v>509.82659999999998</v>
      </c>
      <c r="LE15" s="96">
        <f t="shared" si="66"/>
        <v>0</v>
      </c>
      <c r="LF15" s="96">
        <f t="shared" si="66"/>
        <v>424.66430000000003</v>
      </c>
      <c r="LG15" s="96">
        <f t="shared" si="66"/>
        <v>1221.5250000000001</v>
      </c>
      <c r="LH15" s="96">
        <f t="shared" si="66"/>
        <v>34.494750000000003</v>
      </c>
      <c r="LI15" s="96">
        <f t="shared" si="66"/>
        <v>80</v>
      </c>
      <c r="LJ15" s="96">
        <f t="shared" si="66"/>
        <v>0</v>
      </c>
      <c r="LK15" s="96">
        <f>LK19+LK23+LK27+LK31+LK35+LK39</f>
        <v>1479.7</v>
      </c>
      <c r="LL15" s="96">
        <f t="shared" si="66"/>
        <v>0</v>
      </c>
      <c r="LM15" s="96">
        <f t="shared" si="66"/>
        <v>50.4</v>
      </c>
      <c r="LN15" s="96">
        <f t="shared" si="66"/>
        <v>0</v>
      </c>
      <c r="LO15" s="96">
        <f t="shared" si="66"/>
        <v>0</v>
      </c>
      <c r="LP15" s="96">
        <f t="shared" si="66"/>
        <v>0</v>
      </c>
      <c r="LQ15" s="96">
        <f t="shared" si="66"/>
        <v>41.4</v>
      </c>
      <c r="LR15" s="96">
        <f t="shared" si="66"/>
        <v>144.6</v>
      </c>
      <c r="LS15" s="96">
        <f t="shared" si="66"/>
        <v>0</v>
      </c>
      <c r="LT15" s="96">
        <f t="shared" si="66"/>
        <v>116.8</v>
      </c>
      <c r="LU15" s="96">
        <f t="shared" si="66"/>
        <v>694.7</v>
      </c>
      <c r="LV15" s="96">
        <f t="shared" ref="LV15:NS15" si="67">LV19+LV23+LV27+LV31+LV35+LV39</f>
        <v>163.80000000000001</v>
      </c>
      <c r="LW15" s="96">
        <f t="shared" ref="LW15:LZ15" si="68">LW19+LW23+LW27+LW31+LW35+LW39</f>
        <v>0</v>
      </c>
      <c r="LX15" s="96">
        <f t="shared" si="68"/>
        <v>26.9</v>
      </c>
      <c r="LY15" s="96">
        <f t="shared" si="68"/>
        <v>901</v>
      </c>
      <c r="LZ15" s="96">
        <f t="shared" si="68"/>
        <v>302.2</v>
      </c>
      <c r="MA15" s="96">
        <f t="shared" si="67"/>
        <v>261.2</v>
      </c>
      <c r="MB15" s="96">
        <f t="shared" si="67"/>
        <v>33.9</v>
      </c>
      <c r="MC15" s="96">
        <f t="shared" si="67"/>
        <v>103</v>
      </c>
      <c r="MD15" s="96">
        <f t="shared" si="67"/>
        <v>62.7</v>
      </c>
      <c r="ME15" s="96">
        <f t="shared" si="67"/>
        <v>12.9</v>
      </c>
      <c r="MF15" s="96">
        <f t="shared" si="67"/>
        <v>0</v>
      </c>
      <c r="MG15" s="96">
        <f t="shared" si="67"/>
        <v>0</v>
      </c>
      <c r="MH15" s="96">
        <f t="shared" si="67"/>
        <v>15.7</v>
      </c>
      <c r="MI15" s="96">
        <f t="shared" si="67"/>
        <v>142.9</v>
      </c>
      <c r="MJ15" s="96">
        <f t="shared" si="67"/>
        <v>200.7</v>
      </c>
      <c r="MK15" s="96">
        <f t="shared" si="67"/>
        <v>12.7</v>
      </c>
      <c r="ML15" s="96">
        <f t="shared" si="67"/>
        <v>334.1</v>
      </c>
      <c r="MM15" s="96">
        <f>MM19+MM23+MM27+MN31+MM35+MM39</f>
        <v>339.3</v>
      </c>
      <c r="MN15" s="96">
        <f>MN19+MN23+MN27+MN31+MN35+MN39</f>
        <v>339.3</v>
      </c>
      <c r="MO15" s="96">
        <f t="shared" si="67"/>
        <v>1164</v>
      </c>
      <c r="MP15" s="96">
        <f t="shared" si="67"/>
        <v>27</v>
      </c>
      <c r="MQ15" s="96">
        <f t="shared" si="67"/>
        <v>47</v>
      </c>
      <c r="MR15" s="96">
        <f t="shared" si="67"/>
        <v>133</v>
      </c>
      <c r="MS15" s="96">
        <f t="shared" si="67"/>
        <v>99</v>
      </c>
      <c r="MT15" s="96">
        <f t="shared" si="67"/>
        <v>0</v>
      </c>
      <c r="MU15" s="96">
        <f t="shared" si="67"/>
        <v>0</v>
      </c>
      <c r="MV15" s="96">
        <f t="shared" si="67"/>
        <v>44</v>
      </c>
      <c r="MW15" s="96">
        <f t="shared" si="67"/>
        <v>10</v>
      </c>
      <c r="MX15" s="96">
        <f t="shared" si="67"/>
        <v>26</v>
      </c>
      <c r="MY15" s="96">
        <f t="shared" si="67"/>
        <v>0</v>
      </c>
      <c r="MZ15" s="96">
        <f t="shared" si="67"/>
        <v>146</v>
      </c>
      <c r="NA15" s="96">
        <f t="shared" si="67"/>
        <v>0</v>
      </c>
      <c r="NB15" s="96">
        <f t="shared" si="67"/>
        <v>59</v>
      </c>
      <c r="NC15" s="96">
        <f t="shared" si="67"/>
        <v>833</v>
      </c>
      <c r="ND15" s="96">
        <f t="shared" si="67"/>
        <v>288</v>
      </c>
      <c r="NE15" s="96">
        <f t="shared" si="67"/>
        <v>69</v>
      </c>
      <c r="NF15" s="96">
        <f t="shared" si="67"/>
        <v>127</v>
      </c>
      <c r="NG15" s="96">
        <f t="shared" si="67"/>
        <v>0</v>
      </c>
      <c r="NH15" s="96">
        <f t="shared" si="67"/>
        <v>249</v>
      </c>
      <c r="NI15" s="96">
        <f t="shared" si="67"/>
        <v>0</v>
      </c>
      <c r="NJ15" s="96">
        <f t="shared" si="67"/>
        <v>107</v>
      </c>
      <c r="NK15" s="96">
        <f t="shared" si="67"/>
        <v>73</v>
      </c>
      <c r="NL15" s="96">
        <f t="shared" si="67"/>
        <v>92</v>
      </c>
      <c r="NM15" s="96">
        <f t="shared" si="67"/>
        <v>0</v>
      </c>
      <c r="NN15" s="96">
        <f t="shared" si="67"/>
        <v>0</v>
      </c>
      <c r="NO15" s="96">
        <f t="shared" si="67"/>
        <v>0</v>
      </c>
      <c r="NP15" s="96">
        <f t="shared" si="67"/>
        <v>0</v>
      </c>
      <c r="NQ15" s="96">
        <f t="shared" si="67"/>
        <v>31</v>
      </c>
      <c r="NR15" s="96">
        <f t="shared" si="67"/>
        <v>0</v>
      </c>
      <c r="NS15" s="96">
        <f t="shared" si="67"/>
        <v>0</v>
      </c>
      <c r="NW15" s="230" t="s">
        <v>6</v>
      </c>
      <c r="NX15" s="33">
        <f>NX5/10^9</f>
        <v>3.3661770689999999</v>
      </c>
      <c r="NY15" s="33">
        <f>NY5/10^9</f>
        <v>5.0144411199999999</v>
      </c>
      <c r="NZ15" s="33">
        <f>NZ5/10^9</f>
        <v>5.4469850109999998</v>
      </c>
      <c r="OA15" s="33">
        <f>OA5/10^9</f>
        <v>4.5197477079999997</v>
      </c>
      <c r="OB15" s="33">
        <f>OB5/10^9</f>
        <v>4.2439845749999998</v>
      </c>
      <c r="OC15" s="33">
        <f>OC5/10^9</f>
        <v>4.4959998140000001</v>
      </c>
      <c r="OD15" s="33">
        <f>OD5/10^9</f>
        <v>5.58414301</v>
      </c>
      <c r="OE15" s="33">
        <f>OE5/10^9</f>
        <v>4.543299921</v>
      </c>
      <c r="OF15" s="33">
        <f>OF5/10^9</f>
        <v>4.0873233180000001</v>
      </c>
      <c r="OG15" s="33">
        <f>OG5/10^9</f>
        <v>3.865312222</v>
      </c>
      <c r="OH15" s="33">
        <f>OH5/10^9</f>
        <v>2.8847464110000001</v>
      </c>
      <c r="OI15" s="33">
        <f>OI5/10^9</f>
        <v>4.5255764559999996</v>
      </c>
      <c r="OJ15" s="326">
        <f>OJ5/10^9</f>
        <v>52.577736635000001</v>
      </c>
      <c r="OK15" s="33">
        <f>OK5/10^9</f>
        <v>13.8276032</v>
      </c>
      <c r="OL15" s="33">
        <f>OL5/10^9</f>
        <v>13.259732097000001</v>
      </c>
      <c r="OM15" s="33">
        <f>OM5/10^9</f>
        <v>14.214766249</v>
      </c>
      <c r="ON15" s="33">
        <f>ON5/10^9</f>
        <v>11.275635089</v>
      </c>
      <c r="OP15">
        <f t="shared" ref="OP15:PE17" si="69">OP19+OP23+OP27+OP31+OP39+OP35</f>
        <v>330</v>
      </c>
      <c r="OQ15">
        <f t="shared" si="69"/>
        <v>445</v>
      </c>
      <c r="OR15">
        <f t="shared" si="69"/>
        <v>0</v>
      </c>
      <c r="OS15">
        <f t="shared" si="69"/>
        <v>0</v>
      </c>
      <c r="OT15">
        <f t="shared" si="69"/>
        <v>0</v>
      </c>
      <c r="OU15">
        <f t="shared" si="69"/>
        <v>0</v>
      </c>
      <c r="OV15">
        <f t="shared" si="69"/>
        <v>0</v>
      </c>
      <c r="OW15">
        <f t="shared" si="69"/>
        <v>0</v>
      </c>
      <c r="OX15">
        <f t="shared" si="69"/>
        <v>0</v>
      </c>
      <c r="OY15">
        <f t="shared" si="69"/>
        <v>0</v>
      </c>
      <c r="OZ15">
        <f t="shared" si="69"/>
        <v>0</v>
      </c>
      <c r="PA15">
        <f t="shared" si="69"/>
        <v>0</v>
      </c>
      <c r="PB15">
        <f t="shared" si="69"/>
        <v>0</v>
      </c>
      <c r="PC15">
        <f t="shared" si="69"/>
        <v>0</v>
      </c>
      <c r="PD15">
        <f t="shared" si="69"/>
        <v>0</v>
      </c>
      <c r="PE15">
        <f t="shared" si="69"/>
        <v>0</v>
      </c>
      <c r="PF15">
        <f t="shared" si="52"/>
        <v>0</v>
      </c>
      <c r="PG15">
        <f t="shared" si="52"/>
        <v>0</v>
      </c>
      <c r="PH15">
        <f t="shared" si="52"/>
        <v>0</v>
      </c>
      <c r="PI15">
        <f t="shared" si="52"/>
        <v>0</v>
      </c>
      <c r="PJ15">
        <f t="shared" si="52"/>
        <v>0</v>
      </c>
      <c r="PK15">
        <f t="shared" si="52"/>
        <v>0</v>
      </c>
      <c r="PL15">
        <f t="shared" si="52"/>
        <v>0</v>
      </c>
      <c r="PM15">
        <f t="shared" si="52"/>
        <v>0</v>
      </c>
      <c r="PN15">
        <f t="shared" si="52"/>
        <v>0</v>
      </c>
      <c r="PO15">
        <f t="shared" si="52"/>
        <v>0</v>
      </c>
      <c r="PP15">
        <f t="shared" si="52"/>
        <v>0</v>
      </c>
      <c r="PQ15">
        <f t="shared" si="52"/>
        <v>0</v>
      </c>
      <c r="PR15">
        <f t="shared" si="52"/>
        <v>0</v>
      </c>
      <c r="PS15">
        <f t="shared" si="52"/>
        <v>0</v>
      </c>
      <c r="PT15">
        <f t="shared" si="52"/>
        <v>0</v>
      </c>
    </row>
    <row r="16" spans="2:770">
      <c r="B16" s="366" t="s">
        <v>41</v>
      </c>
      <c r="C16" s="365" t="s">
        <v>42</v>
      </c>
      <c r="D16" s="50">
        <v>3484</v>
      </c>
      <c r="E16" s="262">
        <v>1700</v>
      </c>
      <c r="F16" s="50">
        <v>4099.9999999999991</v>
      </c>
      <c r="G16" s="50">
        <v>4888.1021880000008</v>
      </c>
      <c r="H16" s="262"/>
      <c r="I16" s="50">
        <v>1500</v>
      </c>
      <c r="J16" s="262">
        <f>SUM(D16:I16)</f>
        <v>15672.102188000001</v>
      </c>
      <c r="P16" s="189">
        <f t="shared" si="53"/>
        <v>6007.12</v>
      </c>
      <c r="Q16" s="478"/>
      <c r="R16" s="59" t="s">
        <v>40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95">
        <f t="shared" ref="BZ16:CO17" si="70">BZ20+BZ24+BZ28+BZ32+BZ36+BZ40</f>
        <v>376.18940011614654</v>
      </c>
      <c r="CA16" s="95">
        <f t="shared" si="70"/>
        <v>59.147612815445868</v>
      </c>
      <c r="CB16" s="95">
        <f t="shared" si="70"/>
        <v>384.13209383890569</v>
      </c>
      <c r="CC16" s="95">
        <f t="shared" si="70"/>
        <v>584.10593550467672</v>
      </c>
      <c r="CD16" s="95">
        <f t="shared" si="70"/>
        <v>486.06674900788414</v>
      </c>
      <c r="CE16" s="95">
        <f t="shared" si="70"/>
        <v>510.79281881510667</v>
      </c>
      <c r="CF16" s="95">
        <f t="shared" si="70"/>
        <v>408.24986425837005</v>
      </c>
      <c r="CG16" s="95">
        <f t="shared" si="70"/>
        <v>355.45659804743639</v>
      </c>
      <c r="CH16" s="95">
        <f t="shared" si="70"/>
        <v>157.61023499999999</v>
      </c>
      <c r="CI16" s="95">
        <f t="shared" si="70"/>
        <v>961.74033871729807</v>
      </c>
      <c r="CJ16" s="95">
        <f t="shared" si="70"/>
        <v>839.34878327185288</v>
      </c>
      <c r="CK16" s="95">
        <f t="shared" si="70"/>
        <v>637.56382617092595</v>
      </c>
      <c r="CL16" s="95">
        <f t="shared" si="70"/>
        <v>594.20441061393365</v>
      </c>
      <c r="CM16" s="95">
        <f t="shared" si="70"/>
        <v>672.35088366056539</v>
      </c>
      <c r="CN16" s="95">
        <f t="shared" si="70"/>
        <v>430.50015399939491</v>
      </c>
      <c r="CO16" s="95">
        <f t="shared" si="70"/>
        <v>167.61624412587582</v>
      </c>
      <c r="CP16" s="95">
        <f t="shared" si="54"/>
        <v>477.67506151231777</v>
      </c>
      <c r="CQ16" s="95">
        <f t="shared" si="54"/>
        <v>618.19217242736659</v>
      </c>
      <c r="CR16" s="95">
        <f t="shared" si="54"/>
        <v>544.28449983229177</v>
      </c>
      <c r="CS16" s="95">
        <f t="shared" si="54"/>
        <v>1097.0506601242091</v>
      </c>
      <c r="CT16" s="95">
        <f t="shared" si="54"/>
        <v>273.89963189409855</v>
      </c>
      <c r="CU16" s="95">
        <f t="shared" si="54"/>
        <v>884.53273939648102</v>
      </c>
      <c r="CV16" s="95">
        <f t="shared" si="54"/>
        <v>175.44764553359875</v>
      </c>
      <c r="CW16" s="95">
        <f t="shared" si="54"/>
        <v>296.86902525052045</v>
      </c>
      <c r="CX16" s="95">
        <f t="shared" si="54"/>
        <v>435.77938906529721</v>
      </c>
      <c r="CY16" s="95">
        <f t="shared" si="54"/>
        <v>361.49439999999998</v>
      </c>
      <c r="CZ16" s="95">
        <f t="shared" si="54"/>
        <v>171.72130000000001</v>
      </c>
      <c r="DA16" s="95">
        <f t="shared" si="54"/>
        <v>320</v>
      </c>
      <c r="DB16" s="95">
        <f t="shared" si="54"/>
        <v>709</v>
      </c>
      <c r="DC16" s="95">
        <f t="shared" si="54"/>
        <v>364</v>
      </c>
      <c r="DD16" s="68">
        <f t="shared" si="54"/>
        <v>452</v>
      </c>
      <c r="DE16" s="96">
        <f t="shared" ref="DE16:EH16" si="71">DE20+DE24+DE28+DE32+DE36+DE40</f>
        <v>389.854601</v>
      </c>
      <c r="DF16" s="96">
        <f t="shared" si="71"/>
        <v>506.55989999999997</v>
      </c>
      <c r="DG16" s="96">
        <f t="shared" si="71"/>
        <v>254.71430000000001</v>
      </c>
      <c r="DH16" s="96">
        <f t="shared" si="71"/>
        <v>189.44130000000001</v>
      </c>
      <c r="DI16" s="96">
        <f t="shared" si="71"/>
        <v>646.67368899999997</v>
      </c>
      <c r="DJ16" s="96">
        <f t="shared" si="71"/>
        <v>238.809977</v>
      </c>
      <c r="DK16" s="96">
        <f t="shared" si="71"/>
        <v>120.7</v>
      </c>
      <c r="DL16" s="96">
        <f t="shared" si="71"/>
        <v>333.93960400000003</v>
      </c>
      <c r="DM16" s="96">
        <f t="shared" si="71"/>
        <v>140.395938</v>
      </c>
      <c r="DN16" s="96">
        <f t="shared" si="71"/>
        <v>287.22940499999999</v>
      </c>
      <c r="DO16" s="96">
        <f t="shared" si="71"/>
        <v>345.54985499999998</v>
      </c>
      <c r="DP16" s="96">
        <f t="shared" si="71"/>
        <v>425.42599999999999</v>
      </c>
      <c r="DQ16" s="96">
        <f t="shared" si="71"/>
        <v>169.4922</v>
      </c>
      <c r="DR16" s="96">
        <f t="shared" si="71"/>
        <v>310.45519999999999</v>
      </c>
      <c r="DS16" s="96">
        <f t="shared" si="71"/>
        <v>263.24040000000002</v>
      </c>
      <c r="DT16" s="96">
        <f t="shared" si="71"/>
        <v>341.97929999999997</v>
      </c>
      <c r="DU16" s="96">
        <f t="shared" si="71"/>
        <v>256.14639999999997</v>
      </c>
      <c r="DV16" s="96">
        <f t="shared" si="71"/>
        <v>459.56639999999999</v>
      </c>
      <c r="DW16" s="96">
        <f t="shared" si="71"/>
        <v>728.70320000000004</v>
      </c>
      <c r="DX16" s="96">
        <f t="shared" si="71"/>
        <v>307.49517700000001</v>
      </c>
      <c r="DY16" s="96">
        <f t="shared" si="71"/>
        <v>203.3734</v>
      </c>
      <c r="DZ16" s="96">
        <f t="shared" si="71"/>
        <v>929.66859999999997</v>
      </c>
      <c r="EA16" s="96">
        <f t="shared" si="71"/>
        <v>267.53829999999999</v>
      </c>
      <c r="EB16" s="96">
        <f t="shared" si="71"/>
        <v>303.55599999999998</v>
      </c>
      <c r="EC16" s="96">
        <f t="shared" si="71"/>
        <v>428.5711</v>
      </c>
      <c r="ED16" s="96">
        <f t="shared" si="71"/>
        <v>316.25560000000002</v>
      </c>
      <c r="EE16" s="96">
        <f t="shared" si="71"/>
        <v>171.12729999999999</v>
      </c>
      <c r="EF16" s="96">
        <f t="shared" si="71"/>
        <v>373.50510000000003</v>
      </c>
      <c r="EG16" s="96">
        <f t="shared" si="71"/>
        <v>281</v>
      </c>
      <c r="EH16" s="97">
        <f t="shared" si="71"/>
        <v>0</v>
      </c>
      <c r="EI16" s="97">
        <f t="shared" ref="EI16:FE17" si="72">EI20+EI24+EI28+EI32+EI36+EI40</f>
        <v>83</v>
      </c>
      <c r="EJ16" s="97">
        <f t="shared" si="72"/>
        <v>252</v>
      </c>
      <c r="EK16" s="97">
        <f t="shared" si="72"/>
        <v>84</v>
      </c>
      <c r="EL16" s="97">
        <f t="shared" si="72"/>
        <v>138</v>
      </c>
      <c r="EM16" s="97">
        <f t="shared" si="72"/>
        <v>495</v>
      </c>
      <c r="EN16" s="97">
        <f t="shared" si="72"/>
        <v>215</v>
      </c>
      <c r="EO16" s="97">
        <f t="shared" si="72"/>
        <v>318</v>
      </c>
      <c r="EP16" s="97">
        <f t="shared" si="72"/>
        <v>746</v>
      </c>
      <c r="EQ16" s="97">
        <f t="shared" si="72"/>
        <v>530</v>
      </c>
      <c r="ER16" s="97">
        <f t="shared" si="72"/>
        <v>553</v>
      </c>
      <c r="ES16" s="97">
        <f t="shared" si="72"/>
        <v>126</v>
      </c>
      <c r="ET16" s="97">
        <f t="shared" si="72"/>
        <v>359</v>
      </c>
      <c r="EU16" s="97">
        <f t="shared" si="72"/>
        <v>398</v>
      </c>
      <c r="EV16" s="97">
        <f t="shared" si="72"/>
        <v>187</v>
      </c>
      <c r="EW16" s="97">
        <f t="shared" si="72"/>
        <v>282</v>
      </c>
      <c r="EX16" s="97">
        <f t="shared" si="72"/>
        <v>178</v>
      </c>
      <c r="EY16" s="97">
        <f t="shared" si="72"/>
        <v>181</v>
      </c>
      <c r="EZ16" s="97">
        <f t="shared" si="72"/>
        <v>181</v>
      </c>
      <c r="FA16" s="97">
        <f t="shared" si="72"/>
        <v>858</v>
      </c>
      <c r="FB16" s="97">
        <f t="shared" si="72"/>
        <v>199</v>
      </c>
      <c r="FC16" s="97">
        <f t="shared" si="72"/>
        <v>314</v>
      </c>
      <c r="FD16" s="97">
        <f t="shared" si="72"/>
        <v>261</v>
      </c>
      <c r="FE16" s="97">
        <f t="shared" si="72"/>
        <v>294</v>
      </c>
      <c r="FF16" s="97">
        <f t="shared" ref="FF16:FH16" si="73">FF20+FF24+FF28+FF32+FF36+FF40</f>
        <v>144</v>
      </c>
      <c r="FG16" s="97">
        <f t="shared" si="73"/>
        <v>261</v>
      </c>
      <c r="FH16" s="97">
        <f t="shared" si="73"/>
        <v>289</v>
      </c>
      <c r="FI16" s="97">
        <f t="shared" ref="FI16:FL16" si="74">FI20+FI24+FI28+FI32+FI36+FI40</f>
        <v>127</v>
      </c>
      <c r="FJ16" s="97">
        <f t="shared" si="74"/>
        <v>279</v>
      </c>
      <c r="FK16" s="97">
        <f t="shared" si="74"/>
        <v>166</v>
      </c>
      <c r="FL16" s="97">
        <f t="shared" si="74"/>
        <v>209</v>
      </c>
      <c r="FM16" s="97">
        <f t="shared" ref="FM16:FN16" si="75">FM20+FM24+FM28+FM32+FM36+FM40</f>
        <v>763</v>
      </c>
      <c r="FN16" s="96">
        <f t="shared" si="75"/>
        <v>176.5514</v>
      </c>
      <c r="FO16" s="96">
        <f t="shared" ref="FO16:GQ16" si="76">FO20+FO24+FO28+FO32+FO36+FO40</f>
        <v>341.49446399999999</v>
      </c>
      <c r="FP16" s="96">
        <f t="shared" si="76"/>
        <v>228.0214</v>
      </c>
      <c r="FQ16" s="96">
        <f t="shared" si="76"/>
        <v>174.99469999999999</v>
      </c>
      <c r="FR16" s="96">
        <f t="shared" si="76"/>
        <v>124.6497</v>
      </c>
      <c r="FS16" s="96">
        <f t="shared" si="76"/>
        <v>475.3963</v>
      </c>
      <c r="FT16" s="96">
        <f t="shared" si="76"/>
        <v>363.1585</v>
      </c>
      <c r="FU16" s="96">
        <f t="shared" si="76"/>
        <v>381.24950000000001</v>
      </c>
      <c r="FV16" s="96">
        <f t="shared" si="76"/>
        <v>932.62907599999994</v>
      </c>
      <c r="FW16" s="96">
        <f t="shared" ref="FW16:GQ16" si="77">FW20+FW24+FW28+FW32+FW36+FW40</f>
        <v>168.58620000000002</v>
      </c>
      <c r="FX16" s="96">
        <f t="shared" si="77"/>
        <v>233.08694400000002</v>
      </c>
      <c r="FY16" s="96">
        <f t="shared" si="77"/>
        <v>371.72735699999998</v>
      </c>
      <c r="FZ16" s="96">
        <f t="shared" si="77"/>
        <v>289.89850000000001</v>
      </c>
      <c r="GA16" s="96">
        <f t="shared" si="77"/>
        <v>150.20650000000001</v>
      </c>
      <c r="GB16" s="96">
        <f t="shared" si="77"/>
        <v>113.1486</v>
      </c>
      <c r="GC16" s="96">
        <f t="shared" si="77"/>
        <v>975.08519999999999</v>
      </c>
      <c r="GD16" s="96">
        <f t="shared" si="77"/>
        <v>295.15909999999997</v>
      </c>
      <c r="GE16" s="96">
        <f t="shared" si="77"/>
        <v>136.20670000000001</v>
      </c>
      <c r="GF16" s="96">
        <f t="shared" si="77"/>
        <v>302.97379999999998</v>
      </c>
      <c r="GG16" s="96">
        <f t="shared" si="77"/>
        <v>290.3279</v>
      </c>
      <c r="GH16" s="96">
        <f t="shared" si="77"/>
        <v>213.70339999999999</v>
      </c>
      <c r="GI16" s="96">
        <f t="shared" si="77"/>
        <v>221.64709999999999</v>
      </c>
      <c r="GJ16" s="96">
        <f t="shared" si="77"/>
        <v>574.04430000000002</v>
      </c>
      <c r="GK16" s="96">
        <f t="shared" si="77"/>
        <v>440.7491</v>
      </c>
      <c r="GL16" s="195">
        <f t="shared" si="77"/>
        <v>171.35680000000002</v>
      </c>
      <c r="GM16" s="96">
        <f t="shared" si="77"/>
        <v>243.23480000000001</v>
      </c>
      <c r="GN16" s="96">
        <f t="shared" si="77"/>
        <v>1169.0416</v>
      </c>
      <c r="GO16" s="96">
        <f t="shared" si="77"/>
        <v>235.9495</v>
      </c>
      <c r="GP16" s="96">
        <f t="shared" si="77"/>
        <v>33</v>
      </c>
      <c r="GQ16" s="96">
        <f t="shared" si="77"/>
        <v>433.23649999999998</v>
      </c>
      <c r="GR16" s="96">
        <f t="shared" ref="GR16:HV16" si="78">GR20+GR24+GR28+GR32+GR36+GR40</f>
        <v>283.41849999999999</v>
      </c>
      <c r="GS16" s="96">
        <f t="shared" si="78"/>
        <v>183.33539999999999</v>
      </c>
      <c r="GT16" s="96">
        <f t="shared" si="78"/>
        <v>102.563824</v>
      </c>
      <c r="GU16" s="96">
        <f t="shared" si="78"/>
        <v>306.35840300000001</v>
      </c>
      <c r="GV16" s="96">
        <f t="shared" si="78"/>
        <v>339.04879299999999</v>
      </c>
      <c r="GW16" s="96">
        <f t="shared" si="78"/>
        <v>111.02119999999999</v>
      </c>
      <c r="GX16" s="96">
        <f t="shared" si="78"/>
        <v>467.7269</v>
      </c>
      <c r="GY16" s="96">
        <f t="shared" si="78"/>
        <v>851.97410000000002</v>
      </c>
      <c r="GZ16" s="96">
        <f t="shared" si="78"/>
        <v>513.82524000000001</v>
      </c>
      <c r="HA16" s="96">
        <f t="shared" si="78"/>
        <v>336.12609299999997</v>
      </c>
      <c r="HB16" s="96">
        <f t="shared" si="78"/>
        <v>460.46505400000001</v>
      </c>
      <c r="HC16" s="96">
        <f t="shared" si="78"/>
        <v>157.08850000000001</v>
      </c>
      <c r="HD16" s="96">
        <f t="shared" si="78"/>
        <v>351.5222</v>
      </c>
      <c r="HE16" s="96">
        <f t="shared" si="78"/>
        <v>481.09230000000002</v>
      </c>
      <c r="HF16" s="96">
        <f t="shared" si="78"/>
        <v>328.43819999999999</v>
      </c>
      <c r="HG16" s="96">
        <f t="shared" si="78"/>
        <v>567.06856500000004</v>
      </c>
      <c r="HH16" s="96">
        <f t="shared" si="78"/>
        <v>279.91739999999999</v>
      </c>
      <c r="HI16" s="96">
        <f t="shared" si="78"/>
        <v>521.51459999999997</v>
      </c>
      <c r="HJ16" s="96">
        <f t="shared" si="78"/>
        <v>283.59039999999999</v>
      </c>
      <c r="HK16" s="96">
        <f t="shared" si="78"/>
        <v>233.66640000000001</v>
      </c>
      <c r="HL16" s="96">
        <f t="shared" si="78"/>
        <v>379.20545600000003</v>
      </c>
      <c r="HM16" s="96">
        <f t="shared" si="78"/>
        <v>234.24373199999999</v>
      </c>
      <c r="HN16" s="96">
        <f t="shared" si="78"/>
        <v>859.810745</v>
      </c>
      <c r="HO16" s="96">
        <f t="shared" si="78"/>
        <v>414.02390000000003</v>
      </c>
      <c r="HP16" s="96">
        <f t="shared" si="78"/>
        <v>231.75399999999999</v>
      </c>
      <c r="HQ16" s="96">
        <f t="shared" si="78"/>
        <v>262.27139999999997</v>
      </c>
      <c r="HR16" s="96">
        <f t="shared" si="78"/>
        <v>60.328299999999999</v>
      </c>
      <c r="HS16" s="96">
        <f t="shared" si="78"/>
        <v>218.99720000000002</v>
      </c>
      <c r="HT16" s="96">
        <f t="shared" si="78"/>
        <v>270.91700000000003</v>
      </c>
      <c r="HU16" s="96">
        <f t="shared" si="78"/>
        <v>263.57319999999999</v>
      </c>
      <c r="HV16" s="96">
        <f t="shared" si="78"/>
        <v>473</v>
      </c>
      <c r="HW16" s="96">
        <f t="shared" ref="HW16:IY16" si="79">HW20+HW24+HW28+HW32+HW36+HW40</f>
        <v>756.2405</v>
      </c>
      <c r="HX16" s="96">
        <f t="shared" si="79"/>
        <v>107</v>
      </c>
      <c r="HY16" s="96">
        <f t="shared" si="79"/>
        <v>570.6463</v>
      </c>
      <c r="HZ16" s="96">
        <f t="shared" si="79"/>
        <v>65</v>
      </c>
      <c r="IA16" s="96">
        <f t="shared" si="79"/>
        <v>101.918322</v>
      </c>
      <c r="IB16" s="96">
        <f t="shared" si="79"/>
        <v>198</v>
      </c>
      <c r="IC16" s="96">
        <f t="shared" si="79"/>
        <v>83</v>
      </c>
      <c r="ID16" s="96">
        <f t="shared" si="79"/>
        <v>140</v>
      </c>
      <c r="IE16" s="96">
        <f t="shared" si="79"/>
        <v>76</v>
      </c>
      <c r="IF16" s="96">
        <f t="shared" si="79"/>
        <v>174</v>
      </c>
      <c r="IG16" s="96">
        <f t="shared" si="79"/>
        <v>212</v>
      </c>
      <c r="IH16" s="96">
        <f t="shared" si="79"/>
        <v>82</v>
      </c>
      <c r="II16" s="96">
        <f t="shared" si="79"/>
        <v>82</v>
      </c>
      <c r="IJ16" s="96">
        <f t="shared" si="79"/>
        <v>121</v>
      </c>
      <c r="IK16" s="96">
        <f t="shared" si="79"/>
        <v>275</v>
      </c>
      <c r="IL16" s="96">
        <f t="shared" si="79"/>
        <v>158</v>
      </c>
      <c r="IM16" s="96">
        <f t="shared" si="79"/>
        <v>294</v>
      </c>
      <c r="IN16" s="96">
        <f t="shared" si="79"/>
        <v>152</v>
      </c>
      <c r="IO16" s="96">
        <f t="shared" si="79"/>
        <v>197</v>
      </c>
      <c r="IP16" s="96">
        <f t="shared" si="79"/>
        <v>48</v>
      </c>
      <c r="IQ16" s="96">
        <f t="shared" si="79"/>
        <v>252</v>
      </c>
      <c r="IR16" s="96">
        <f t="shared" si="79"/>
        <v>81</v>
      </c>
      <c r="IS16" s="96">
        <f t="shared" si="79"/>
        <v>135</v>
      </c>
      <c r="IT16" s="96">
        <f t="shared" si="79"/>
        <v>122</v>
      </c>
      <c r="IU16" s="96">
        <f t="shared" si="79"/>
        <v>57</v>
      </c>
      <c r="IV16" s="96">
        <f t="shared" si="79"/>
        <v>325</v>
      </c>
      <c r="IW16" s="96">
        <f t="shared" si="79"/>
        <v>39</v>
      </c>
      <c r="IX16" s="96">
        <f t="shared" si="79"/>
        <v>300</v>
      </c>
      <c r="IY16" s="96">
        <f t="shared" si="79"/>
        <v>289</v>
      </c>
      <c r="IZ16" s="96">
        <f t="shared" ref="IZ16:JA16" si="80">IZ20+IZ24+IZ28+IZ32+IZ36+IZ40</f>
        <v>135</v>
      </c>
      <c r="JA16" s="96">
        <f t="shared" si="80"/>
        <v>1018</v>
      </c>
      <c r="JB16" s="96">
        <f t="shared" ref="JB16:KE16" si="81">JB20+JB24+JB28+JB32+JB36+JB40</f>
        <v>252.00175300000001</v>
      </c>
      <c r="JC16" s="96">
        <f t="shared" si="81"/>
        <v>173.63738799999999</v>
      </c>
      <c r="JD16" s="96">
        <f t="shared" si="81"/>
        <v>163.21382700000001</v>
      </c>
      <c r="JE16" s="96">
        <f t="shared" si="81"/>
        <v>143.89711399999999</v>
      </c>
      <c r="JF16" s="96">
        <f t="shared" si="81"/>
        <v>116.02120099999999</v>
      </c>
      <c r="JG16" s="96">
        <f t="shared" si="81"/>
        <v>244.44210099999998</v>
      </c>
      <c r="JH16" s="96">
        <f t="shared" si="81"/>
        <v>99</v>
      </c>
      <c r="JI16" s="96">
        <f t="shared" si="81"/>
        <v>235.99795399999999</v>
      </c>
      <c r="JJ16" s="96">
        <f t="shared" si="81"/>
        <v>221.31473800000001</v>
      </c>
      <c r="JK16" s="96">
        <f t="shared" si="81"/>
        <v>324.72832700000004</v>
      </c>
      <c r="JL16" s="96">
        <f t="shared" si="81"/>
        <v>560.02229399999999</v>
      </c>
      <c r="JM16" s="96">
        <f t="shared" si="81"/>
        <v>333.516459</v>
      </c>
      <c r="JN16" s="96">
        <f t="shared" si="81"/>
        <v>221.46839399999999</v>
      </c>
      <c r="JO16" s="96">
        <f t="shared" si="81"/>
        <v>545.72592099999997</v>
      </c>
      <c r="JP16" s="96">
        <f t="shared" si="81"/>
        <v>170.64823799999999</v>
      </c>
      <c r="JQ16" s="96">
        <f t="shared" si="81"/>
        <v>336.495024</v>
      </c>
      <c r="JR16" s="96">
        <f t="shared" si="81"/>
        <v>231.570956</v>
      </c>
      <c r="JS16" s="96">
        <f t="shared" si="81"/>
        <v>255.30969200000001</v>
      </c>
      <c r="JT16" s="96">
        <f t="shared" si="81"/>
        <v>380.29849200000001</v>
      </c>
      <c r="JU16" s="96">
        <f t="shared" si="81"/>
        <v>968.472036</v>
      </c>
      <c r="JV16" s="96">
        <f t="shared" si="81"/>
        <v>86.547686999999996</v>
      </c>
      <c r="JW16" s="96">
        <f t="shared" si="81"/>
        <v>189.48265499999999</v>
      </c>
      <c r="JX16" s="96">
        <f t="shared" si="81"/>
        <v>382.87362100000001</v>
      </c>
      <c r="JY16" s="96">
        <f t="shared" si="81"/>
        <v>236.01024799999999</v>
      </c>
      <c r="JZ16" s="96">
        <f t="shared" si="81"/>
        <v>385.58077900000001</v>
      </c>
      <c r="KA16" s="96">
        <f t="shared" si="81"/>
        <v>119</v>
      </c>
      <c r="KB16" s="96">
        <f t="shared" si="81"/>
        <v>379.104039</v>
      </c>
      <c r="KC16" s="96">
        <f t="shared" si="81"/>
        <v>234.68562399999999</v>
      </c>
      <c r="KD16" s="96">
        <f t="shared" si="81"/>
        <v>254.76521500000001</v>
      </c>
      <c r="KE16" s="96">
        <f t="shared" si="81"/>
        <v>100.47961599999999</v>
      </c>
      <c r="KF16" s="96">
        <f t="shared" ref="KF16:LJ16" si="82">KF20+KF24+KF28+KF32+KF36+KF40</f>
        <v>825.74620400000003</v>
      </c>
      <c r="KG16" s="96">
        <f t="shared" si="82"/>
        <v>123.13910799999999</v>
      </c>
      <c r="KH16" s="96">
        <f t="shared" si="82"/>
        <v>305.95036700000003</v>
      </c>
      <c r="KI16" s="96">
        <f>KI20+KI24+KI28+KI32+KI36+KI40</f>
        <v>463.57622000000003</v>
      </c>
      <c r="KJ16" s="96">
        <f t="shared" si="82"/>
        <v>393.475188</v>
      </c>
      <c r="KK16" s="96">
        <f t="shared" si="82"/>
        <v>605.98259299999995</v>
      </c>
      <c r="KL16" s="96">
        <f t="shared" si="82"/>
        <v>441.08801099999999</v>
      </c>
      <c r="KM16" s="96">
        <f t="shared" si="82"/>
        <v>90.609396000000004</v>
      </c>
      <c r="KN16" s="96">
        <f t="shared" si="82"/>
        <v>297.26570600000002</v>
      </c>
      <c r="KO16" s="96">
        <f t="shared" si="82"/>
        <v>228.36055099999999</v>
      </c>
      <c r="KP16" s="96">
        <f t="shared" si="82"/>
        <v>459.63273400000003</v>
      </c>
      <c r="KQ16" s="96">
        <f t="shared" si="82"/>
        <v>489.679125</v>
      </c>
      <c r="KR16" s="96">
        <f t="shared" si="82"/>
        <v>480.21673099999998</v>
      </c>
      <c r="KS16" s="96">
        <f t="shared" si="82"/>
        <v>301.49292800000001</v>
      </c>
      <c r="KT16" s="96">
        <f t="shared" si="82"/>
        <v>235.22966700000001</v>
      </c>
      <c r="KU16" s="96">
        <f t="shared" si="82"/>
        <v>402.77358700000002</v>
      </c>
      <c r="KV16" s="96">
        <f t="shared" si="82"/>
        <v>473.38430399999999</v>
      </c>
      <c r="KW16" s="96">
        <f t="shared" si="82"/>
        <v>814.59481200000005</v>
      </c>
      <c r="KX16" s="96">
        <f t="shared" si="82"/>
        <v>326.25764600000002</v>
      </c>
      <c r="KY16" s="96">
        <f t="shared" si="82"/>
        <v>750.89540399999998</v>
      </c>
      <c r="KZ16" s="96">
        <f t="shared" si="82"/>
        <v>398.448127</v>
      </c>
      <c r="LA16" s="96">
        <f t="shared" si="82"/>
        <v>209.06200899999999</v>
      </c>
      <c r="LB16" s="96">
        <f t="shared" si="82"/>
        <v>301.34668599999998</v>
      </c>
      <c r="LC16" s="96">
        <f t="shared" si="82"/>
        <v>325.372951</v>
      </c>
      <c r="LD16" s="96">
        <f t="shared" si="82"/>
        <v>433.25458200000003</v>
      </c>
      <c r="LE16" s="96">
        <f t="shared" si="82"/>
        <v>304.679215</v>
      </c>
      <c r="LF16" s="96">
        <f t="shared" si="82"/>
        <v>103.16429599999999</v>
      </c>
      <c r="LG16" s="96">
        <f t="shared" si="82"/>
        <v>311.08117199999998</v>
      </c>
      <c r="LH16" s="96">
        <f t="shared" si="82"/>
        <v>25.177741999999999</v>
      </c>
      <c r="LI16" s="96">
        <f t="shared" si="82"/>
        <v>25.838267999999999</v>
      </c>
      <c r="LJ16" s="96">
        <f t="shared" si="82"/>
        <v>192.573622</v>
      </c>
      <c r="LK16" s="96">
        <f>LK20+LK24+LK28+LK33+LK36+LK40</f>
        <v>608.25549899999999</v>
      </c>
      <c r="LL16" s="96">
        <f t="shared" ref="LK16:LU16" si="83">LL20+LL24+LL28+LL33+LL36+LL40</f>
        <v>241.27448200000001</v>
      </c>
      <c r="LM16" s="96">
        <f t="shared" si="83"/>
        <v>443.62096399999996</v>
      </c>
      <c r="LN16" s="96">
        <f t="shared" si="83"/>
        <v>320.95345800000001</v>
      </c>
      <c r="LO16" s="96">
        <f t="shared" si="83"/>
        <v>381.99991899999998</v>
      </c>
      <c r="LP16" s="96">
        <f t="shared" si="83"/>
        <v>288.47059300000001</v>
      </c>
      <c r="LQ16" s="96">
        <f t="shared" si="83"/>
        <v>266.402402</v>
      </c>
      <c r="LR16" s="96">
        <f t="shared" si="83"/>
        <v>547.50180999999998</v>
      </c>
      <c r="LS16" s="96">
        <f t="shared" si="83"/>
        <v>172.508792</v>
      </c>
      <c r="LT16" s="96">
        <f t="shared" si="83"/>
        <v>438.40361200000001</v>
      </c>
      <c r="LU16" s="96">
        <f t="shared" si="83"/>
        <v>1399.9286999999999</v>
      </c>
      <c r="LV16" s="96">
        <f>LV20+LV24+LV28+LV33+LV36+LV40</f>
        <v>403.96910600000001</v>
      </c>
      <c r="LW16" s="96">
        <f t="shared" ref="LW16:LZ16" si="84">LW20+LW24+LW28+LW33+LW36+LW40</f>
        <v>376.27412800000002</v>
      </c>
      <c r="LX16" s="96">
        <f t="shared" si="84"/>
        <v>285.75501500000001</v>
      </c>
      <c r="LY16" s="96">
        <f t="shared" si="84"/>
        <v>600.65157900000008</v>
      </c>
      <c r="LZ16" s="96">
        <f t="shared" si="84"/>
        <v>203.10636700000001</v>
      </c>
      <c r="MA16" s="96">
        <f t="shared" ref="MA16:NS16" si="85">MA20+MA24+MA28+MA32+MA36+MA40</f>
        <v>730.20151799999996</v>
      </c>
      <c r="MB16" s="96">
        <f t="shared" si="85"/>
        <v>684.88677700000005</v>
      </c>
      <c r="MC16" s="96">
        <f t="shared" si="85"/>
        <v>725.84071399999993</v>
      </c>
      <c r="MD16" s="96">
        <f t="shared" si="85"/>
        <v>516.37719300000003</v>
      </c>
      <c r="ME16" s="96">
        <f t="shared" si="85"/>
        <v>313.24513300000001</v>
      </c>
      <c r="MF16" s="96">
        <f t="shared" si="85"/>
        <v>1084.7829710000001</v>
      </c>
      <c r="MG16" s="96">
        <f>MG20+MG24+MG28+MH32+MG36+MG40</f>
        <v>702.21639600000003</v>
      </c>
      <c r="MH16" s="96">
        <f>MH20+MH24+MH28+MI32+MH36+MH40</f>
        <v>378.821597</v>
      </c>
      <c r="MI16" s="96">
        <f>MI20+MI24+MI28+MJ32+MI36+MI40</f>
        <v>807.4019310000001</v>
      </c>
      <c r="MJ16" s="96">
        <f>MJ20+MJ24+MJ28+MJ32+MJ36+MJ40</f>
        <v>468.13248099999998</v>
      </c>
      <c r="MK16" s="96">
        <f t="shared" si="85"/>
        <v>697.77516600000001</v>
      </c>
      <c r="ML16" s="96">
        <f t="shared" si="85"/>
        <v>315.19630599999999</v>
      </c>
      <c r="MM16" s="96">
        <f t="shared" si="85"/>
        <v>50.124679</v>
      </c>
      <c r="MN16" s="96">
        <f t="shared" ref="MN16" si="86">MN20+MN24+MN28+MN32+MN36+MN40</f>
        <v>0</v>
      </c>
      <c r="MO16" s="96">
        <f t="shared" si="85"/>
        <v>757.02167499999996</v>
      </c>
      <c r="MP16" s="96">
        <f t="shared" si="85"/>
        <v>434.986535</v>
      </c>
      <c r="MQ16" s="96">
        <f t="shared" si="85"/>
        <v>318.93983600000001</v>
      </c>
      <c r="MR16" s="96">
        <f t="shared" si="85"/>
        <v>329.84869200000003</v>
      </c>
      <c r="MS16" s="96">
        <f t="shared" si="85"/>
        <v>786.31452899999999</v>
      </c>
      <c r="MT16" s="96">
        <f t="shared" si="85"/>
        <v>539.95307000000003</v>
      </c>
      <c r="MU16" s="96">
        <f t="shared" si="85"/>
        <v>398.14099900000002</v>
      </c>
      <c r="MV16" s="96">
        <f t="shared" si="85"/>
        <v>664.11260600000003</v>
      </c>
      <c r="MW16" s="96">
        <f t="shared" si="85"/>
        <v>388.03547500000002</v>
      </c>
      <c r="MX16" s="96">
        <f t="shared" si="85"/>
        <v>593.06624799999997</v>
      </c>
      <c r="MY16" s="96">
        <f t="shared" si="85"/>
        <v>95.151275999999996</v>
      </c>
      <c r="MZ16" s="96">
        <f t="shared" si="85"/>
        <v>849.04334599999993</v>
      </c>
      <c r="NA16" s="96">
        <f t="shared" si="85"/>
        <v>881.90132999999992</v>
      </c>
      <c r="NB16" s="96">
        <f t="shared" si="85"/>
        <v>58.427847999999997</v>
      </c>
      <c r="NC16" s="96">
        <f t="shared" si="85"/>
        <v>686.34025900000006</v>
      </c>
      <c r="ND16" s="96">
        <f t="shared" si="85"/>
        <v>401.57546400000001</v>
      </c>
      <c r="NE16" s="96">
        <f t="shared" si="85"/>
        <v>883.36082800000008</v>
      </c>
      <c r="NF16" s="96">
        <f t="shared" si="85"/>
        <v>858.46616900000004</v>
      </c>
      <c r="NG16" s="96">
        <f t="shared" si="85"/>
        <v>498.28726699999999</v>
      </c>
      <c r="NH16" s="96">
        <f t="shared" si="85"/>
        <v>1325.8103160000001</v>
      </c>
      <c r="NI16" s="96">
        <f t="shared" si="85"/>
        <v>682.51693699999998</v>
      </c>
      <c r="NJ16" s="96">
        <f t="shared" si="85"/>
        <v>319.06850800000001</v>
      </c>
      <c r="NK16" s="96">
        <f t="shared" si="85"/>
        <v>346.31646899999998</v>
      </c>
      <c r="NL16" s="96">
        <f t="shared" si="85"/>
        <v>609.23732999999993</v>
      </c>
      <c r="NM16" s="96">
        <f t="shared" si="85"/>
        <v>469.91020400000002</v>
      </c>
      <c r="NN16" s="96">
        <f t="shared" si="85"/>
        <v>440.89275700000002</v>
      </c>
      <c r="NO16" s="96">
        <f t="shared" si="85"/>
        <v>162.96256399999999</v>
      </c>
      <c r="NP16" s="96">
        <f t="shared" si="85"/>
        <v>55</v>
      </c>
      <c r="NQ16" s="96">
        <f t="shared" si="85"/>
        <v>80</v>
      </c>
      <c r="NR16" s="96">
        <f t="shared" si="85"/>
        <v>115</v>
      </c>
      <c r="NS16" s="96">
        <f t="shared" si="85"/>
        <v>150</v>
      </c>
      <c r="NW16" s="230" t="s">
        <v>5</v>
      </c>
      <c r="NX16" s="30">
        <f>NX6/10^9</f>
        <v>27.535932995</v>
      </c>
      <c r="NY16" s="30">
        <f>NY6/10^9</f>
        <v>30.734744456000001</v>
      </c>
      <c r="NZ16" s="30">
        <f>NZ6/10^9</f>
        <v>38.969116411000002</v>
      </c>
      <c r="OA16" s="30">
        <f>OA6/10^9</f>
        <v>34.206641767000001</v>
      </c>
      <c r="OB16" s="30">
        <f>OB6/10^9</f>
        <v>36.056441906000003</v>
      </c>
      <c r="OC16" s="30">
        <f>OC6/10^9</f>
        <v>36.246884590000001</v>
      </c>
      <c r="OD16" s="30">
        <f>OD6/10^9</f>
        <v>41.894769167</v>
      </c>
      <c r="OE16" s="30">
        <f>OE6/10^9</f>
        <v>43.222898839999999</v>
      </c>
      <c r="OF16" s="30">
        <f>OF6/10^9</f>
        <v>38.667572737999997</v>
      </c>
      <c r="OG16" s="30">
        <f>OG6/10^9</f>
        <v>48.396911332999998</v>
      </c>
      <c r="OH16" s="30">
        <f>OH6/10^9</f>
        <v>42.346381598999997</v>
      </c>
      <c r="OI16" s="30">
        <f>OI6/10^9</f>
        <v>44.205422402000004</v>
      </c>
      <c r="OJ16" s="327">
        <f>OJ6/10^9</f>
        <v>462.48371820400001</v>
      </c>
      <c r="OK16" s="30">
        <f>OK6/10^9</f>
        <v>97.239793861999999</v>
      </c>
      <c r="OL16" s="30">
        <f>OL6/10^9</f>
        <v>106.509968263</v>
      </c>
      <c r="OM16" s="30">
        <f>OM6/10^9</f>
        <v>123.785240745</v>
      </c>
      <c r="ON16" s="30">
        <f>ON6/10^9</f>
        <v>134.94871533400001</v>
      </c>
      <c r="OP16">
        <f t="shared" si="69"/>
        <v>5747</v>
      </c>
      <c r="OQ16">
        <f t="shared" si="52"/>
        <v>106</v>
      </c>
      <c r="OR16">
        <f t="shared" si="52"/>
        <v>22</v>
      </c>
      <c r="OS16">
        <f t="shared" si="52"/>
        <v>0</v>
      </c>
      <c r="OT16">
        <f t="shared" si="52"/>
        <v>11</v>
      </c>
      <c r="OU16">
        <f t="shared" si="52"/>
        <v>19.12</v>
      </c>
      <c r="OV16">
        <f t="shared" si="52"/>
        <v>0</v>
      </c>
      <c r="OW16">
        <f t="shared" si="52"/>
        <v>0</v>
      </c>
      <c r="OX16">
        <f t="shared" si="52"/>
        <v>38</v>
      </c>
      <c r="OY16">
        <f t="shared" si="52"/>
        <v>0</v>
      </c>
      <c r="OZ16">
        <f t="shared" si="52"/>
        <v>29</v>
      </c>
      <c r="PA16">
        <f t="shared" si="52"/>
        <v>35</v>
      </c>
      <c r="PB16">
        <f t="shared" si="52"/>
        <v>0</v>
      </c>
      <c r="PC16">
        <f t="shared" si="52"/>
        <v>0</v>
      </c>
      <c r="PD16">
        <f t="shared" si="52"/>
        <v>0</v>
      </c>
      <c r="PE16">
        <f t="shared" si="52"/>
        <v>0</v>
      </c>
      <c r="PF16">
        <f t="shared" si="52"/>
        <v>0</v>
      </c>
      <c r="PG16">
        <f t="shared" si="52"/>
        <v>0</v>
      </c>
      <c r="PH16">
        <f t="shared" si="52"/>
        <v>0</v>
      </c>
      <c r="PI16">
        <f t="shared" si="52"/>
        <v>0</v>
      </c>
      <c r="PJ16">
        <f t="shared" si="52"/>
        <v>0</v>
      </c>
      <c r="PK16">
        <f t="shared" si="52"/>
        <v>0</v>
      </c>
      <c r="PL16">
        <f t="shared" si="52"/>
        <v>0</v>
      </c>
      <c r="PM16">
        <f t="shared" si="52"/>
        <v>0</v>
      </c>
      <c r="PN16">
        <f t="shared" si="52"/>
        <v>0</v>
      </c>
      <c r="PO16">
        <f t="shared" si="52"/>
        <v>0</v>
      </c>
      <c r="PP16">
        <f t="shared" si="52"/>
        <v>0</v>
      </c>
      <c r="PQ16">
        <f t="shared" si="52"/>
        <v>0</v>
      </c>
      <c r="PR16">
        <f t="shared" si="52"/>
        <v>0</v>
      </c>
      <c r="PS16">
        <f t="shared" si="52"/>
        <v>0</v>
      </c>
      <c r="PT16">
        <f t="shared" si="52"/>
        <v>0</v>
      </c>
    </row>
    <row r="17" spans="2:436">
      <c r="B17" s="367" t="s">
        <v>41</v>
      </c>
      <c r="C17" s="365" t="s">
        <v>43</v>
      </c>
      <c r="D17" s="50">
        <v>3434</v>
      </c>
      <c r="E17" s="262"/>
      <c r="F17" s="50">
        <v>2300</v>
      </c>
      <c r="G17" s="262"/>
      <c r="H17" s="262"/>
      <c r="I17" s="262"/>
      <c r="J17" s="262">
        <f>SUM(D17:I17)</f>
        <v>5734</v>
      </c>
      <c r="P17" s="189">
        <f t="shared" si="53"/>
        <v>7318.07</v>
      </c>
      <c r="Q17" s="147" t="s">
        <v>41</v>
      </c>
      <c r="R17" s="124" t="s">
        <v>42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98">
        <f t="shared" si="70"/>
        <v>3135.4526149123535</v>
      </c>
      <c r="CA17" s="98">
        <f t="shared" si="54"/>
        <v>7.9801512079557666</v>
      </c>
      <c r="CB17" s="98">
        <f t="shared" si="54"/>
        <v>434.53857813735664</v>
      </c>
      <c r="CC17" s="98">
        <f t="shared" si="54"/>
        <v>279.67203118065208</v>
      </c>
      <c r="CD17" s="98">
        <f t="shared" si="54"/>
        <v>545.70155684195163</v>
      </c>
      <c r="CE17" s="98">
        <f t="shared" si="54"/>
        <v>509.54974360319341</v>
      </c>
      <c r="CF17" s="98">
        <f t="shared" si="54"/>
        <v>487.38139737086271</v>
      </c>
      <c r="CG17" s="98">
        <f t="shared" si="54"/>
        <v>329.84699717997745</v>
      </c>
      <c r="CH17" s="98">
        <f t="shared" si="54"/>
        <v>129.90583000000001</v>
      </c>
      <c r="CI17" s="98">
        <f t="shared" si="54"/>
        <v>441.40553726283838</v>
      </c>
      <c r="CJ17" s="98">
        <f t="shared" si="54"/>
        <v>451.30843010275299</v>
      </c>
      <c r="CK17" s="98">
        <f t="shared" si="54"/>
        <v>388.91898139736622</v>
      </c>
      <c r="CL17" s="95">
        <f t="shared" si="54"/>
        <v>481.43014712174681</v>
      </c>
      <c r="CM17" s="95">
        <f t="shared" si="54"/>
        <v>410.45678468378139</v>
      </c>
      <c r="CN17" s="95">
        <f t="shared" si="54"/>
        <v>415.42826929462962</v>
      </c>
      <c r="CO17" s="95">
        <f t="shared" si="54"/>
        <v>121.1238246304971</v>
      </c>
      <c r="CP17" s="95">
        <f t="shared" si="54"/>
        <v>391.75053649685367</v>
      </c>
      <c r="CQ17" s="95">
        <f t="shared" si="54"/>
        <v>358.22374569669887</v>
      </c>
      <c r="CR17" s="95">
        <f t="shared" si="54"/>
        <v>416.75224122630766</v>
      </c>
      <c r="CS17" s="95">
        <f t="shared" si="54"/>
        <v>619.04798241874244</v>
      </c>
      <c r="CT17" s="95">
        <f t="shared" si="54"/>
        <v>345.18395610777628</v>
      </c>
      <c r="CU17" s="95">
        <f t="shared" si="54"/>
        <v>370.38585162240827</v>
      </c>
      <c r="CV17" s="95">
        <f t="shared" si="54"/>
        <v>271.20265923447499</v>
      </c>
      <c r="CW17" s="95">
        <f t="shared" si="54"/>
        <v>423.92131113051096</v>
      </c>
      <c r="CX17" s="95">
        <f t="shared" si="54"/>
        <v>351.48396613831108</v>
      </c>
      <c r="CY17" s="95">
        <f t="shared" si="54"/>
        <v>416.44407799999999</v>
      </c>
      <c r="CZ17" s="95">
        <f t="shared" si="54"/>
        <v>412</v>
      </c>
      <c r="DA17" s="95">
        <f t="shared" si="54"/>
        <v>420.4</v>
      </c>
      <c r="DB17" s="95">
        <f t="shared" si="54"/>
        <v>548.79999999999995</v>
      </c>
      <c r="DC17" s="95">
        <f t="shared" si="54"/>
        <v>92</v>
      </c>
      <c r="DD17" s="68">
        <f t="shared" si="54"/>
        <v>576.1</v>
      </c>
      <c r="DE17" s="96">
        <f t="shared" ref="DE17:EH17" si="87">DE21+DE25+DE29+DE33+DE37+DE41</f>
        <v>576.49307599999997</v>
      </c>
      <c r="DF17" s="96">
        <f t="shared" si="87"/>
        <v>482.19091200000003</v>
      </c>
      <c r="DG17" s="96">
        <f t="shared" si="87"/>
        <v>481.86123199999997</v>
      </c>
      <c r="DH17" s="96">
        <f t="shared" si="87"/>
        <v>414.96416499999998</v>
      </c>
      <c r="DI17" s="96">
        <f t="shared" si="87"/>
        <v>489.09386900000004</v>
      </c>
      <c r="DJ17" s="96">
        <f t="shared" si="87"/>
        <v>145.30837</v>
      </c>
      <c r="DK17" s="96">
        <f t="shared" si="87"/>
        <v>360.55120199999999</v>
      </c>
      <c r="DL17" s="96">
        <f t="shared" si="87"/>
        <v>449.34255099999996</v>
      </c>
      <c r="DM17" s="96">
        <f t="shared" si="87"/>
        <v>556.29999999999995</v>
      </c>
      <c r="DN17" s="96">
        <f t="shared" si="87"/>
        <v>646.48423600000001</v>
      </c>
      <c r="DO17" s="96">
        <f t="shared" si="87"/>
        <v>405.80628300000001</v>
      </c>
      <c r="DP17" s="96">
        <f t="shared" si="87"/>
        <v>545.767338</v>
      </c>
      <c r="DQ17" s="96">
        <f t="shared" si="87"/>
        <v>319.62531899999999</v>
      </c>
      <c r="DR17" s="96">
        <f t="shared" si="87"/>
        <v>439.263239</v>
      </c>
      <c r="DS17" s="96">
        <f t="shared" si="87"/>
        <v>407.8</v>
      </c>
      <c r="DT17" s="96">
        <f t="shared" si="87"/>
        <v>499.19198199999994</v>
      </c>
      <c r="DU17" s="96">
        <f t="shared" si="87"/>
        <v>577.88606700000003</v>
      </c>
      <c r="DV17" s="96">
        <f t="shared" si="87"/>
        <v>566.52850100000001</v>
      </c>
      <c r="DW17" s="96">
        <f t="shared" si="87"/>
        <v>678.29864999999995</v>
      </c>
      <c r="DX17" s="96">
        <f t="shared" si="87"/>
        <v>215.76013599999999</v>
      </c>
      <c r="DY17" s="96">
        <f t="shared" si="87"/>
        <v>314.08423900000003</v>
      </c>
      <c r="DZ17" s="96">
        <f t="shared" si="87"/>
        <v>425.32757000000004</v>
      </c>
      <c r="EA17" s="96">
        <f t="shared" si="87"/>
        <v>344.52656000000002</v>
      </c>
      <c r="EB17" s="96">
        <f t="shared" si="87"/>
        <v>308.42038700000001</v>
      </c>
      <c r="EC17" s="96">
        <f t="shared" si="87"/>
        <v>360.139566</v>
      </c>
      <c r="ED17" s="96">
        <f t="shared" si="87"/>
        <v>237</v>
      </c>
      <c r="EE17" s="96">
        <f t="shared" si="87"/>
        <v>91.995374999999996</v>
      </c>
      <c r="EF17" s="96">
        <f t="shared" si="87"/>
        <v>361.203033</v>
      </c>
      <c r="EG17" s="96">
        <f t="shared" si="87"/>
        <v>209</v>
      </c>
      <c r="EH17" s="97">
        <f t="shared" si="87"/>
        <v>0</v>
      </c>
      <c r="EI17" s="97">
        <f t="shared" ref="EI17:FE17" si="88">EI21+EI25+EI29+EI33+EI37+EI41</f>
        <v>154</v>
      </c>
      <c r="EJ17" s="97">
        <f t="shared" si="88"/>
        <v>498.8</v>
      </c>
      <c r="EK17" s="97">
        <f>EK21+EK25+EK29+EK33+EK37+EK41</f>
        <v>280.10000000000002</v>
      </c>
      <c r="EL17" s="97">
        <f t="shared" si="88"/>
        <v>286.60000000000002</v>
      </c>
      <c r="EM17" s="97">
        <f t="shared" si="88"/>
        <v>411</v>
      </c>
      <c r="EN17" s="97">
        <f t="shared" si="72"/>
        <v>524.5</v>
      </c>
      <c r="EO17" s="97">
        <f t="shared" si="88"/>
        <v>424.63</v>
      </c>
      <c r="EP17" s="97">
        <f t="shared" si="88"/>
        <v>393.4</v>
      </c>
      <c r="EQ17" s="97">
        <f t="shared" si="88"/>
        <v>1042.5999999999999</v>
      </c>
      <c r="ER17" s="97">
        <f t="shared" si="88"/>
        <v>743.2</v>
      </c>
      <c r="ES17" s="97">
        <f t="shared" si="88"/>
        <v>425.8</v>
      </c>
      <c r="ET17" s="97">
        <f t="shared" si="88"/>
        <v>617</v>
      </c>
      <c r="EU17" s="97">
        <f t="shared" si="88"/>
        <v>606.43000000000006</v>
      </c>
      <c r="EV17" s="97">
        <f t="shared" si="88"/>
        <v>510.8</v>
      </c>
      <c r="EW17" s="97">
        <f t="shared" si="88"/>
        <v>666.8</v>
      </c>
      <c r="EX17" s="97">
        <f t="shared" si="88"/>
        <v>847.5</v>
      </c>
      <c r="EY17" s="97">
        <f t="shared" si="88"/>
        <v>331.8</v>
      </c>
      <c r="EZ17" s="97">
        <f t="shared" si="88"/>
        <v>357.63</v>
      </c>
      <c r="FA17" s="97">
        <f t="shared" si="88"/>
        <v>972.1</v>
      </c>
      <c r="FB17" s="97">
        <f t="shared" si="88"/>
        <v>482.5</v>
      </c>
      <c r="FC17" s="97">
        <f t="shared" si="88"/>
        <v>695.1</v>
      </c>
      <c r="FD17" s="97">
        <f t="shared" si="88"/>
        <v>502.8</v>
      </c>
      <c r="FE17" s="97">
        <f t="shared" si="88"/>
        <v>572.9</v>
      </c>
      <c r="FF17" s="97">
        <f t="shared" ref="FF17:FH17" si="89">FF21+FF25+FF29+FF33+FF37+FF41</f>
        <v>645.4</v>
      </c>
      <c r="FG17" s="97">
        <f t="shared" si="89"/>
        <v>672</v>
      </c>
      <c r="FH17" s="97">
        <f t="shared" si="89"/>
        <v>721.13</v>
      </c>
      <c r="FI17" s="97">
        <f t="shared" ref="FI17:FL17" si="90">FI21+FI25+FI29+FI33+FI37+FI41</f>
        <v>240.8</v>
      </c>
      <c r="FJ17" s="97">
        <f t="shared" si="90"/>
        <v>567.9</v>
      </c>
      <c r="FK17" s="97">
        <f t="shared" si="90"/>
        <v>745.43000000000006</v>
      </c>
      <c r="FL17" s="97">
        <f t="shared" si="90"/>
        <v>528.9</v>
      </c>
      <c r="FM17" s="97">
        <f t="shared" ref="FM17:FN17" si="91">FM21+FM25+FM29+FM33+FM37+FM41</f>
        <v>569.5</v>
      </c>
      <c r="FN17" s="96">
        <f t="shared" si="91"/>
        <v>349.51044100000001</v>
      </c>
      <c r="FO17" s="96">
        <f t="shared" ref="FO17:GQ17" si="92">FO21+FO25+FO29+FO33+FO37+FO41</f>
        <v>526.02164700000003</v>
      </c>
      <c r="FP17" s="96">
        <f t="shared" si="92"/>
        <v>411.59914800000001</v>
      </c>
      <c r="FQ17" s="96">
        <f t="shared" si="92"/>
        <v>667.51296600000001</v>
      </c>
      <c r="FR17" s="96">
        <f t="shared" si="92"/>
        <v>609.47464600000001</v>
      </c>
      <c r="FS17" s="96">
        <f t="shared" si="92"/>
        <v>565.69962600000008</v>
      </c>
      <c r="FT17" s="96">
        <f t="shared" si="92"/>
        <v>659.38939300000004</v>
      </c>
      <c r="FU17" s="96">
        <f t="shared" si="92"/>
        <v>188.59027499999999</v>
      </c>
      <c r="FV17" s="96">
        <f t="shared" si="92"/>
        <v>749.835961</v>
      </c>
      <c r="FW17" s="96">
        <f t="shared" ref="FW17:GQ17" si="93">FW21+FW25+FW29+FW33+FW37+FW41</f>
        <v>796.45406900000012</v>
      </c>
      <c r="FX17" s="96">
        <f t="shared" si="93"/>
        <v>497.582674</v>
      </c>
      <c r="FY17" s="96">
        <f t="shared" si="93"/>
        <v>627.20471199999997</v>
      </c>
      <c r="FZ17" s="96">
        <f t="shared" si="93"/>
        <v>559.32024100000001</v>
      </c>
      <c r="GA17" s="96">
        <f t="shared" si="93"/>
        <v>732.88752700000009</v>
      </c>
      <c r="GB17" s="96">
        <f t="shared" si="93"/>
        <v>179.74564700000002</v>
      </c>
      <c r="GC17" s="96">
        <f t="shared" si="93"/>
        <v>737.16</v>
      </c>
      <c r="GD17" s="96">
        <f t="shared" si="93"/>
        <v>633.14418000000001</v>
      </c>
      <c r="GE17" s="96">
        <f t="shared" si="93"/>
        <v>560.19780900000001</v>
      </c>
      <c r="GF17" s="96">
        <f>GF21+GF25+GF29+GF33+GF37+GF41</f>
        <v>386.295299</v>
      </c>
      <c r="GG17" s="96">
        <f t="shared" si="93"/>
        <v>529.33151099999998</v>
      </c>
      <c r="GH17" s="96">
        <f t="shared" si="93"/>
        <v>246.63054599999998</v>
      </c>
      <c r="GI17" s="96">
        <f t="shared" si="93"/>
        <v>196</v>
      </c>
      <c r="GJ17" s="96">
        <f t="shared" si="93"/>
        <v>469.76</v>
      </c>
      <c r="GK17" s="96">
        <f t="shared" si="93"/>
        <v>595.53907600000002</v>
      </c>
      <c r="GL17" s="195">
        <f t="shared" si="93"/>
        <v>613.42521499999998</v>
      </c>
      <c r="GM17" s="96">
        <f t="shared" si="93"/>
        <v>698.42051100000003</v>
      </c>
      <c r="GN17" s="96">
        <f t="shared" si="93"/>
        <v>1009.015525</v>
      </c>
      <c r="GO17" s="96">
        <f t="shared" si="93"/>
        <v>526.90659700000003</v>
      </c>
      <c r="GP17" s="96">
        <f t="shared" si="93"/>
        <v>240.75634400000001</v>
      </c>
      <c r="GQ17" s="96">
        <f t="shared" si="93"/>
        <v>317.44881599999997</v>
      </c>
      <c r="GR17" s="96">
        <f t="shared" ref="GR17:HV17" si="94">GR21+GR25+GR29+GR33+GR37+GR41</f>
        <v>1693.643736</v>
      </c>
      <c r="GS17" s="96">
        <f t="shared" si="94"/>
        <v>317.18</v>
      </c>
      <c r="GT17" s="96">
        <f t="shared" si="94"/>
        <v>360.194728</v>
      </c>
      <c r="GU17" s="96">
        <f t="shared" si="94"/>
        <v>341.84000000000003</v>
      </c>
      <c r="GV17" s="96">
        <f t="shared" si="94"/>
        <v>376.276522</v>
      </c>
      <c r="GW17" s="96">
        <f t="shared" si="94"/>
        <v>46.305683000000002</v>
      </c>
      <c r="GX17" s="96">
        <f t="shared" si="94"/>
        <v>506.118987</v>
      </c>
      <c r="GY17" s="96">
        <f t="shared" si="94"/>
        <v>617.13118600000007</v>
      </c>
      <c r="GZ17" s="96">
        <f t="shared" si="94"/>
        <v>450.2</v>
      </c>
      <c r="HA17" s="96">
        <f t="shared" si="94"/>
        <v>331.193647</v>
      </c>
      <c r="HB17" s="96">
        <f t="shared" si="94"/>
        <v>606.95373800000004</v>
      </c>
      <c r="HC17" s="96">
        <f t="shared" si="94"/>
        <v>758.22661500000004</v>
      </c>
      <c r="HD17" s="96">
        <f t="shared" si="94"/>
        <v>375.95057800000001</v>
      </c>
      <c r="HE17" s="96">
        <f t="shared" si="94"/>
        <v>921.98845499999993</v>
      </c>
      <c r="HF17" s="96">
        <f t="shared" si="94"/>
        <v>706.5865050000001</v>
      </c>
      <c r="HG17" s="96">
        <f t="shared" si="94"/>
        <v>546.54171799999995</v>
      </c>
      <c r="HH17" s="96">
        <f t="shared" si="94"/>
        <v>710.46783900000003</v>
      </c>
      <c r="HI17" s="96">
        <f t="shared" si="94"/>
        <v>464.94716800000003</v>
      </c>
      <c r="HJ17" s="96">
        <f t="shared" si="94"/>
        <v>803.21696599999996</v>
      </c>
      <c r="HK17" s="96">
        <f t="shared" si="94"/>
        <v>263.545187</v>
      </c>
      <c r="HL17" s="96">
        <f t="shared" si="94"/>
        <v>568.63789499999996</v>
      </c>
      <c r="HM17" s="96">
        <f t="shared" si="94"/>
        <v>579.85933499999999</v>
      </c>
      <c r="HN17" s="96">
        <f t="shared" si="94"/>
        <v>910.41069900000002</v>
      </c>
      <c r="HO17" s="96">
        <f t="shared" si="94"/>
        <v>494.08330699999999</v>
      </c>
      <c r="HP17" s="96">
        <f t="shared" si="94"/>
        <v>736.93000799999993</v>
      </c>
      <c r="HQ17" s="96">
        <f t="shared" si="94"/>
        <v>472.35633899999999</v>
      </c>
      <c r="HR17" s="96">
        <f t="shared" si="94"/>
        <v>298.96425899999997</v>
      </c>
      <c r="HS17" s="96">
        <f t="shared" si="94"/>
        <v>491.23</v>
      </c>
      <c r="HT17" s="96">
        <f t="shared" si="94"/>
        <v>350.17999999999995</v>
      </c>
      <c r="HU17" s="96">
        <f t="shared" si="94"/>
        <v>407.45000000000005</v>
      </c>
      <c r="HV17" s="96">
        <f t="shared" si="94"/>
        <v>336.92</v>
      </c>
      <c r="HW17" s="96">
        <f t="shared" ref="HW17:IY17" si="95">HW21+HW25+HW29+HW33+HW37+HW41</f>
        <v>623.75607300000001</v>
      </c>
      <c r="HX17" s="96">
        <f t="shared" si="95"/>
        <v>679.93831</v>
      </c>
      <c r="HY17" s="96">
        <f t="shared" si="95"/>
        <v>500.30448899999999</v>
      </c>
      <c r="HZ17" s="96">
        <f t="shared" si="95"/>
        <v>519.45664599999998</v>
      </c>
      <c r="IA17" s="96">
        <f t="shared" si="95"/>
        <v>529.64</v>
      </c>
      <c r="IB17" s="96">
        <f t="shared" si="95"/>
        <v>564.79999999999995</v>
      </c>
      <c r="IC17" s="96">
        <f t="shared" si="95"/>
        <v>320.5</v>
      </c>
      <c r="ID17" s="96">
        <f t="shared" si="95"/>
        <v>498.6</v>
      </c>
      <c r="IE17" s="96">
        <f t="shared" si="95"/>
        <v>271.97000000000003</v>
      </c>
      <c r="IF17" s="96">
        <f t="shared" si="95"/>
        <v>453</v>
      </c>
      <c r="IG17" s="96">
        <f t="shared" si="95"/>
        <v>589.79</v>
      </c>
      <c r="IH17" s="96">
        <f t="shared" si="95"/>
        <v>456.91999999999996</v>
      </c>
      <c r="II17" s="96">
        <f t="shared" si="95"/>
        <v>533.34</v>
      </c>
      <c r="IJ17" s="96">
        <f t="shared" si="95"/>
        <v>449.46000000000004</v>
      </c>
      <c r="IK17" s="96">
        <f t="shared" si="95"/>
        <v>472.24</v>
      </c>
      <c r="IL17" s="96">
        <f t="shared" si="95"/>
        <v>347.29999999999995</v>
      </c>
      <c r="IM17" s="96">
        <f t="shared" si="95"/>
        <v>79</v>
      </c>
      <c r="IN17" s="96">
        <f t="shared" si="95"/>
        <v>468.02</v>
      </c>
      <c r="IO17" s="96">
        <f t="shared" si="95"/>
        <v>325.18</v>
      </c>
      <c r="IP17" s="96">
        <f t="shared" si="95"/>
        <v>480.64</v>
      </c>
      <c r="IQ17" s="96">
        <f t="shared" si="95"/>
        <v>435.16999999999996</v>
      </c>
      <c r="IR17" s="96">
        <f t="shared" si="95"/>
        <v>524.37</v>
      </c>
      <c r="IS17" s="96">
        <f t="shared" si="95"/>
        <v>370.46000000000004</v>
      </c>
      <c r="IT17" s="96">
        <f t="shared" si="95"/>
        <v>180</v>
      </c>
      <c r="IU17" s="96">
        <f t="shared" si="95"/>
        <v>481.08000000000004</v>
      </c>
      <c r="IV17" s="96">
        <f t="shared" si="95"/>
        <v>433.85</v>
      </c>
      <c r="IW17" s="96">
        <f t="shared" si="95"/>
        <v>371.39</v>
      </c>
      <c r="IX17" s="96">
        <f t="shared" si="95"/>
        <v>394.24</v>
      </c>
      <c r="IY17" s="96">
        <f t="shared" si="95"/>
        <v>402.61</v>
      </c>
      <c r="IZ17" s="96">
        <f t="shared" ref="IZ17:JA17" si="96">IZ21+IZ25+IZ29+IZ33+IZ37+IZ41</f>
        <v>248.2</v>
      </c>
      <c r="JA17" s="96">
        <f t="shared" si="96"/>
        <v>583</v>
      </c>
      <c r="JB17" s="96">
        <f t="shared" ref="JB17:KE17" si="97">JB21+JB25+JB29+JB33+JB37+JB41</f>
        <v>562.03308400000003</v>
      </c>
      <c r="JC17" s="96">
        <f t="shared" si="97"/>
        <v>93</v>
      </c>
      <c r="JD17" s="96">
        <f t="shared" si="97"/>
        <v>562.80902800000001</v>
      </c>
      <c r="JE17" s="96">
        <f t="shared" si="97"/>
        <v>699.756122</v>
      </c>
      <c r="JF17" s="96">
        <f t="shared" si="97"/>
        <v>644.08030299999996</v>
      </c>
      <c r="JG17" s="96">
        <f t="shared" si="97"/>
        <v>295.76286100000004</v>
      </c>
      <c r="JH17" s="96">
        <f t="shared" si="97"/>
        <v>66</v>
      </c>
      <c r="JI17" s="96">
        <f t="shared" si="97"/>
        <v>452.96000000000004</v>
      </c>
      <c r="JJ17" s="96">
        <f t="shared" si="97"/>
        <v>546.09</v>
      </c>
      <c r="JK17" s="96">
        <f t="shared" si="97"/>
        <v>520.2765159999999</v>
      </c>
      <c r="JL17" s="96">
        <f t="shared" si="97"/>
        <v>789.87424499999997</v>
      </c>
      <c r="JM17" s="96">
        <f t="shared" si="97"/>
        <v>683.86283000000003</v>
      </c>
      <c r="JN17" s="96">
        <f t="shared" si="97"/>
        <v>838.53121299999998</v>
      </c>
      <c r="JO17" s="96">
        <f t="shared" si="97"/>
        <v>371.35795400000001</v>
      </c>
      <c r="JP17" s="96">
        <f t="shared" si="97"/>
        <v>369.96</v>
      </c>
      <c r="JQ17" s="96">
        <f t="shared" si="97"/>
        <v>370.13</v>
      </c>
      <c r="JR17" s="96">
        <f t="shared" si="97"/>
        <v>495.32420100000002</v>
      </c>
      <c r="JS17" s="96">
        <f t="shared" si="97"/>
        <v>527.482257</v>
      </c>
      <c r="JT17" s="96">
        <f t="shared" si="97"/>
        <v>421.46903199999997</v>
      </c>
      <c r="JU17" s="96">
        <f t="shared" si="97"/>
        <v>500.25450999999998</v>
      </c>
      <c r="JV17" s="96">
        <f t="shared" si="97"/>
        <v>372.96346800000003</v>
      </c>
      <c r="JW17" s="96">
        <f t="shared" si="97"/>
        <v>472.81073200000003</v>
      </c>
      <c r="JX17" s="96">
        <f t="shared" si="97"/>
        <v>922.54323999999997</v>
      </c>
      <c r="JY17" s="96">
        <f t="shared" si="97"/>
        <v>465.44936100000001</v>
      </c>
      <c r="JZ17" s="96">
        <f t="shared" si="97"/>
        <v>544.21611699999994</v>
      </c>
      <c r="KA17" s="96">
        <f t="shared" si="97"/>
        <v>407.57211299999994</v>
      </c>
      <c r="KB17" s="96">
        <f t="shared" si="97"/>
        <v>641.92155300000002</v>
      </c>
      <c r="KC17" s="96">
        <f t="shared" si="97"/>
        <v>185.60516699999999</v>
      </c>
      <c r="KD17" s="96">
        <f t="shared" si="97"/>
        <v>562.84220299999993</v>
      </c>
      <c r="KE17" s="96">
        <f t="shared" si="97"/>
        <v>446.21216900000002</v>
      </c>
      <c r="KF17" s="96">
        <f t="shared" ref="KF17:LU17" si="98">KF21+KF25+KF29+KF33+KF37+KF41</f>
        <v>482.09651400000001</v>
      </c>
      <c r="KG17" s="96">
        <f t="shared" si="98"/>
        <v>322.10599999999999</v>
      </c>
      <c r="KH17" s="96">
        <f t="shared" si="98"/>
        <v>572.66357200000004</v>
      </c>
      <c r="KI17" s="96">
        <f t="shared" si="98"/>
        <v>550.20959300000004</v>
      </c>
      <c r="KJ17" s="96">
        <f t="shared" si="98"/>
        <v>471.73990300000003</v>
      </c>
      <c r="KK17" s="96">
        <f t="shared" si="98"/>
        <v>486.97878400000002</v>
      </c>
      <c r="KL17" s="96">
        <f t="shared" si="98"/>
        <v>500.84426999999999</v>
      </c>
      <c r="KM17" s="96">
        <f t="shared" si="98"/>
        <v>444.92573800000002</v>
      </c>
      <c r="KN17" s="96">
        <f t="shared" si="98"/>
        <v>526.95061099999998</v>
      </c>
      <c r="KO17" s="96">
        <f t="shared" si="98"/>
        <v>532.53615100000002</v>
      </c>
      <c r="KP17" s="96">
        <f t="shared" si="98"/>
        <v>578.893146</v>
      </c>
      <c r="KQ17" s="96">
        <f t="shared" si="98"/>
        <v>402.68406200000004</v>
      </c>
      <c r="KR17" s="96">
        <f t="shared" si="98"/>
        <v>1020.088304</v>
      </c>
      <c r="KS17" s="96">
        <f t="shared" si="98"/>
        <v>635.89142700000002</v>
      </c>
      <c r="KT17" s="96">
        <f t="shared" si="98"/>
        <v>696.36182099999996</v>
      </c>
      <c r="KU17" s="96">
        <f t="shared" si="98"/>
        <v>564.91515600000002</v>
      </c>
      <c r="KV17" s="96">
        <f t="shared" si="98"/>
        <v>565.91707199999996</v>
      </c>
      <c r="KW17" s="96">
        <f t="shared" si="98"/>
        <v>579.61253799999997</v>
      </c>
      <c r="KX17" s="96">
        <f t="shared" si="98"/>
        <v>302.74178800000004</v>
      </c>
      <c r="KY17" s="96">
        <f t="shared" si="98"/>
        <v>610.09682100000009</v>
      </c>
      <c r="KZ17" s="96">
        <f t="shared" si="98"/>
        <v>617.55641199999991</v>
      </c>
      <c r="LA17" s="96">
        <f t="shared" si="98"/>
        <v>558.01495699999998</v>
      </c>
      <c r="LB17" s="96">
        <f t="shared" si="98"/>
        <v>581.49841099999992</v>
      </c>
      <c r="LC17" s="96">
        <f t="shared" si="98"/>
        <v>408.54936700000002</v>
      </c>
      <c r="LD17" s="96">
        <f t="shared" si="98"/>
        <v>769.13657000000001</v>
      </c>
      <c r="LE17" s="96">
        <f t="shared" si="98"/>
        <v>184.76799199999999</v>
      </c>
      <c r="LF17" s="96">
        <f t="shared" si="98"/>
        <v>398.55701899999997</v>
      </c>
      <c r="LG17" s="96">
        <f t="shared" si="98"/>
        <v>540.57873199999995</v>
      </c>
      <c r="LH17" s="96">
        <f t="shared" si="98"/>
        <v>275.603273</v>
      </c>
      <c r="LI17" s="96">
        <f t="shared" si="98"/>
        <v>137.46158299999999</v>
      </c>
      <c r="LJ17" s="96">
        <f t="shared" si="98"/>
        <v>97</v>
      </c>
      <c r="LK17" s="96">
        <f>LK21+LK25+LK29+LK33+LK37+LK41</f>
        <v>858.974695</v>
      </c>
      <c r="LL17" s="96">
        <f t="shared" si="98"/>
        <v>266.46656000000002</v>
      </c>
      <c r="LM17" s="96">
        <f t="shared" si="98"/>
        <v>760.38446900000008</v>
      </c>
      <c r="LN17" s="96">
        <f t="shared" si="98"/>
        <v>636.87726699999996</v>
      </c>
      <c r="LO17" s="96">
        <f t="shared" si="98"/>
        <v>524.38835100000006</v>
      </c>
      <c r="LP17" s="96">
        <f t="shared" si="98"/>
        <v>634.19886899999995</v>
      </c>
      <c r="LQ17" s="96">
        <f t="shared" si="98"/>
        <v>434.74808900000005</v>
      </c>
      <c r="LR17" s="96">
        <f t="shared" si="98"/>
        <v>635.12862699999994</v>
      </c>
      <c r="LS17" s="96">
        <f t="shared" si="98"/>
        <v>180.63254899999998</v>
      </c>
      <c r="LT17" s="96">
        <f t="shared" si="98"/>
        <v>429.33884599999999</v>
      </c>
      <c r="LU17" s="96">
        <f t="shared" si="98"/>
        <v>1341.966504</v>
      </c>
      <c r="LV17" s="96">
        <f>LV21+LV25+LV29+LV33+LV37+LV41</f>
        <v>637.04357800000002</v>
      </c>
      <c r="LW17" s="96">
        <f t="shared" ref="LW17:LZ17" si="99">LW21+LW25+LW29+LW33+LW37+LW41</f>
        <v>641.62316800000008</v>
      </c>
      <c r="LX17" s="96">
        <f t="shared" si="99"/>
        <v>717.87019099999998</v>
      </c>
      <c r="LY17" s="96">
        <f t="shared" si="99"/>
        <v>382.26166499999999</v>
      </c>
      <c r="LZ17" s="96">
        <f t="shared" si="99"/>
        <v>331.955265</v>
      </c>
      <c r="MA17" s="96">
        <f t="shared" ref="MA17:NS17" si="100">MA21+MA25+MA29+MA33+MA37+MA41</f>
        <v>556.18965300000002</v>
      </c>
      <c r="MB17" s="96">
        <f t="shared" si="100"/>
        <v>696.33060899999998</v>
      </c>
      <c r="MC17" s="96">
        <f t="shared" si="100"/>
        <v>528.37565900000004</v>
      </c>
      <c r="MD17" s="96">
        <f t="shared" si="100"/>
        <v>564.50525900000002</v>
      </c>
      <c r="ME17" s="96">
        <f t="shared" si="100"/>
        <v>725.89090199999998</v>
      </c>
      <c r="MF17" s="96">
        <f t="shared" si="100"/>
        <v>1399.843836</v>
      </c>
      <c r="MG17" s="96">
        <f t="shared" si="100"/>
        <v>378.51756</v>
      </c>
      <c r="MH17" s="96">
        <f t="shared" si="100"/>
        <v>543.46389399999998</v>
      </c>
      <c r="MI17" s="96">
        <f t="shared" si="100"/>
        <v>385.90115500000002</v>
      </c>
      <c r="MJ17" s="96">
        <f t="shared" si="100"/>
        <v>306.7</v>
      </c>
      <c r="MK17" s="96">
        <f t="shared" si="100"/>
        <v>243.07402099999999</v>
      </c>
      <c r="ML17" s="96">
        <f t="shared" si="100"/>
        <v>1324.863724</v>
      </c>
      <c r="MM17" s="96">
        <f t="shared" si="100"/>
        <v>516.63194099999998</v>
      </c>
      <c r="MN17" s="96">
        <f>MN21+MN25+MN29+MN33+MN37+MN41</f>
        <v>145.97957</v>
      </c>
      <c r="MO17" s="96">
        <f t="shared" si="100"/>
        <v>424.67941500000001</v>
      </c>
      <c r="MP17" s="96">
        <f t="shared" si="100"/>
        <v>915.30194400000005</v>
      </c>
      <c r="MQ17" s="96">
        <f t="shared" si="100"/>
        <v>1041.6766130000001</v>
      </c>
      <c r="MR17" s="96">
        <f t="shared" si="100"/>
        <v>555.715284</v>
      </c>
      <c r="MS17" s="96">
        <f t="shared" si="100"/>
        <v>592.84369500000003</v>
      </c>
      <c r="MT17" s="96">
        <f t="shared" si="100"/>
        <v>532.87738200000001</v>
      </c>
      <c r="MU17" s="96">
        <f t="shared" si="100"/>
        <v>611.18671400000005</v>
      </c>
      <c r="MV17" s="96">
        <f t="shared" si="100"/>
        <v>903.17010700000003</v>
      </c>
      <c r="MW17" s="96">
        <f t="shared" si="100"/>
        <v>487.33714699999996</v>
      </c>
      <c r="MX17" s="96">
        <f t="shared" si="100"/>
        <v>834.08161500000006</v>
      </c>
      <c r="MY17" s="96">
        <f t="shared" si="100"/>
        <v>577.37241100000006</v>
      </c>
      <c r="MZ17" s="96">
        <f t="shared" si="100"/>
        <v>427.09081500000002</v>
      </c>
      <c r="NA17" s="96">
        <f t="shared" si="100"/>
        <v>957.00790899999993</v>
      </c>
      <c r="NB17" s="96">
        <f t="shared" si="100"/>
        <v>319.65182099999998</v>
      </c>
      <c r="NC17" s="96">
        <f t="shared" si="100"/>
        <v>604.89402500000006</v>
      </c>
      <c r="ND17" s="96">
        <f t="shared" si="100"/>
        <v>612.43731600000001</v>
      </c>
      <c r="NE17" s="96">
        <f t="shared" si="100"/>
        <v>594.80729999999994</v>
      </c>
      <c r="NF17" s="96">
        <f t="shared" si="100"/>
        <v>1096.664256</v>
      </c>
      <c r="NG17" s="96">
        <f t="shared" si="100"/>
        <v>430.3</v>
      </c>
      <c r="NH17" s="96">
        <f t="shared" si="100"/>
        <v>450.379097</v>
      </c>
      <c r="NI17" s="96">
        <f t="shared" si="100"/>
        <v>226.599222</v>
      </c>
      <c r="NJ17" s="96">
        <f t="shared" si="100"/>
        <v>704.02786300000002</v>
      </c>
      <c r="NK17" s="96">
        <f t="shared" si="100"/>
        <v>534.30875500000002</v>
      </c>
      <c r="NL17" s="96">
        <f t="shared" si="100"/>
        <v>342.2</v>
      </c>
      <c r="NM17" s="96">
        <f t="shared" si="100"/>
        <v>569.9</v>
      </c>
      <c r="NN17" s="96">
        <f t="shared" si="100"/>
        <v>368.5</v>
      </c>
      <c r="NO17" s="96">
        <f t="shared" si="100"/>
        <v>403.6</v>
      </c>
      <c r="NP17" s="96">
        <f t="shared" si="100"/>
        <v>340</v>
      </c>
      <c r="NQ17" s="96">
        <f t="shared" si="100"/>
        <v>654</v>
      </c>
      <c r="NR17" s="96">
        <f t="shared" si="100"/>
        <v>250</v>
      </c>
      <c r="NS17" s="96">
        <f t="shared" si="100"/>
        <v>95</v>
      </c>
      <c r="NW17" s="230" t="s">
        <v>10</v>
      </c>
      <c r="NX17" s="33">
        <f>NX7/10^9</f>
        <v>2.7164593300000002</v>
      </c>
      <c r="NY17" s="33">
        <f>NY7/10^9</f>
        <v>3.3561248140000002</v>
      </c>
      <c r="NZ17" s="33">
        <f>NZ7/10^9</f>
        <v>3.9569497779999998</v>
      </c>
      <c r="OA17" s="33">
        <f>OA7/10^9</f>
        <v>3.71180697</v>
      </c>
      <c r="OB17" s="33">
        <f>OB7/10^9</f>
        <v>2.7348500709999999</v>
      </c>
      <c r="OC17" s="33">
        <f>OC7/10^9</f>
        <v>3.767583203</v>
      </c>
      <c r="OD17" s="33">
        <f>OD7/10^9</f>
        <v>3.670780846</v>
      </c>
      <c r="OE17" s="33">
        <f>OE7/10^9</f>
        <v>3.4043646609999998</v>
      </c>
      <c r="OF17" s="33">
        <f>OF7/10^9</f>
        <v>2.176347313</v>
      </c>
      <c r="OG17" s="33">
        <f>OG7/10^9</f>
        <v>2.6139758390000001</v>
      </c>
      <c r="OH17" s="33">
        <f>OH7/10^9</f>
        <v>2.5035406</v>
      </c>
      <c r="OI17" s="33">
        <f>OI7/10^9</f>
        <v>2.4867202879999999</v>
      </c>
      <c r="OJ17" s="326">
        <f>OJ7/10^9</f>
        <v>37.099503712999997</v>
      </c>
      <c r="OK17" s="33">
        <f>OK7/10^9</f>
        <v>10.029533922000001</v>
      </c>
      <c r="OL17" s="33">
        <f>OL7/10^9</f>
        <v>10.214240244000001</v>
      </c>
      <c r="OM17" s="33">
        <f>OM7/10^9</f>
        <v>9.2514928199999993</v>
      </c>
      <c r="ON17" s="33">
        <f>ON7/10^9</f>
        <v>7.604236727</v>
      </c>
      <c r="OP17">
        <f t="shared" si="69"/>
        <v>4963</v>
      </c>
      <c r="OQ17">
        <f t="shared" si="52"/>
        <v>141.80000000000001</v>
      </c>
      <c r="OR17">
        <f t="shared" si="52"/>
        <v>193.03</v>
      </c>
      <c r="OS17">
        <f t="shared" si="52"/>
        <v>3</v>
      </c>
      <c r="OT17">
        <f t="shared" si="52"/>
        <v>155.80000000000001</v>
      </c>
      <c r="OU17">
        <f t="shared" si="52"/>
        <v>279.63</v>
      </c>
      <c r="OV17">
        <f t="shared" si="52"/>
        <v>277.56</v>
      </c>
      <c r="OW17">
        <f t="shared" si="52"/>
        <v>318.13</v>
      </c>
      <c r="OX17">
        <f t="shared" si="52"/>
        <v>288.60000000000002</v>
      </c>
      <c r="OY17">
        <f t="shared" si="52"/>
        <v>306.7</v>
      </c>
      <c r="OZ17">
        <f t="shared" si="52"/>
        <v>0</v>
      </c>
      <c r="PA17">
        <f t="shared" si="52"/>
        <v>53.03</v>
      </c>
      <c r="PB17">
        <f t="shared" si="52"/>
        <v>106.03</v>
      </c>
      <c r="PC17">
        <f t="shared" si="52"/>
        <v>49.23</v>
      </c>
      <c r="PD17">
        <f t="shared" si="52"/>
        <v>40.700000000000003</v>
      </c>
      <c r="PE17">
        <f t="shared" si="52"/>
        <v>44.73</v>
      </c>
      <c r="PF17">
        <f>PF21+PF25+PF29+PF33+PF41+PF37</f>
        <v>42.1</v>
      </c>
      <c r="PG17">
        <f>PG21+PG25+PG29+PG33+PG41+PG37</f>
        <v>0</v>
      </c>
      <c r="PH17">
        <f t="shared" si="52"/>
        <v>55</v>
      </c>
      <c r="PI17">
        <f t="shared" si="52"/>
        <v>0</v>
      </c>
      <c r="PJ17">
        <f t="shared" si="52"/>
        <v>0</v>
      </c>
      <c r="PK17">
        <f t="shared" si="52"/>
        <v>0</v>
      </c>
      <c r="PL17">
        <f t="shared" si="52"/>
        <v>0</v>
      </c>
      <c r="PM17">
        <f t="shared" si="52"/>
        <v>0</v>
      </c>
      <c r="PN17">
        <f t="shared" si="52"/>
        <v>0</v>
      </c>
      <c r="PO17">
        <f t="shared" si="52"/>
        <v>0</v>
      </c>
      <c r="PP17">
        <f t="shared" si="52"/>
        <v>0</v>
      </c>
      <c r="PQ17">
        <f t="shared" si="52"/>
        <v>0</v>
      </c>
      <c r="PR17">
        <f t="shared" si="52"/>
        <v>0</v>
      </c>
      <c r="PS17">
        <f t="shared" si="52"/>
        <v>0</v>
      </c>
      <c r="PT17">
        <f t="shared" si="52"/>
        <v>0</v>
      </c>
    </row>
    <row r="18" spans="2:436">
      <c r="B18" s="368" t="s">
        <v>41</v>
      </c>
      <c r="C18" s="369" t="s">
        <v>44</v>
      </c>
      <c r="D18" s="370"/>
      <c r="E18" s="370"/>
      <c r="F18" s="371">
        <v>7644</v>
      </c>
      <c r="G18" s="370"/>
      <c r="H18" s="370"/>
      <c r="I18" s="370"/>
      <c r="J18" s="370">
        <f>SUM(D18:I18)</f>
        <v>7644</v>
      </c>
      <c r="P18" s="189">
        <f t="shared" si="53"/>
        <v>904.19</v>
      </c>
      <c r="Q18" s="480" t="s">
        <v>6</v>
      </c>
      <c r="R18" s="476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  <c r="BM18" s="239"/>
      <c r="BN18" s="239"/>
      <c r="BO18" s="239"/>
      <c r="BP18" s="239"/>
      <c r="BQ18" s="239"/>
      <c r="BR18" s="239"/>
      <c r="BS18" s="239"/>
      <c r="BT18" s="239"/>
      <c r="BU18" s="239"/>
      <c r="BV18" s="239"/>
      <c r="BW18" s="239"/>
      <c r="BX18" s="239"/>
      <c r="BY18" s="239"/>
      <c r="BZ18" s="69">
        <f>SUM(BZ19:BZ21)</f>
        <v>47</v>
      </c>
      <c r="CA18" s="70">
        <f t="shared" ref="CA18:CI18" si="101">SUM(CA19:CA21)</f>
        <v>0</v>
      </c>
      <c r="CB18" s="70">
        <f t="shared" si="101"/>
        <v>106</v>
      </c>
      <c r="CC18" s="70">
        <f t="shared" si="101"/>
        <v>143</v>
      </c>
      <c r="CD18" s="70">
        <f t="shared" si="101"/>
        <v>180</v>
      </c>
      <c r="CE18" s="70">
        <f t="shared" si="101"/>
        <v>49</v>
      </c>
      <c r="CF18" s="70">
        <f t="shared" si="101"/>
        <v>85</v>
      </c>
      <c r="CG18" s="70">
        <f t="shared" si="101"/>
        <v>51</v>
      </c>
      <c r="CH18" s="70">
        <f t="shared" si="101"/>
        <v>0</v>
      </c>
      <c r="CI18" s="70">
        <f t="shared" si="101"/>
        <v>115</v>
      </c>
      <c r="CJ18" s="70">
        <f t="shared" ref="CJ18" si="102">SUM(CJ19:CJ21)</f>
        <v>139</v>
      </c>
      <c r="CK18" s="70">
        <f t="shared" ref="CK18" si="103">SUM(CK19:CK21)</f>
        <v>64</v>
      </c>
      <c r="CL18" s="70">
        <f t="shared" ref="CL18" si="104">SUM(CL19:CL21)</f>
        <v>55</v>
      </c>
      <c r="CM18" s="70">
        <f t="shared" ref="CM18" si="105">SUM(CM19:CM21)</f>
        <v>82</v>
      </c>
      <c r="CN18" s="70">
        <f t="shared" ref="CN18" si="106">SUM(CN19:CN21)</f>
        <v>76</v>
      </c>
      <c r="CO18" s="70">
        <f t="shared" ref="CO18" si="107">SUM(CO19:CO21)</f>
        <v>0</v>
      </c>
      <c r="CP18" s="70">
        <f t="shared" ref="CP18" si="108">SUM(CP19:CP21)</f>
        <v>70</v>
      </c>
      <c r="CQ18" s="70">
        <f t="shared" ref="CQ18" si="109">SUM(CQ19:CQ21)</f>
        <v>83</v>
      </c>
      <c r="CR18" s="70">
        <f t="shared" ref="CR18" si="110">SUM(CR19:CR21)</f>
        <v>111</v>
      </c>
      <c r="CS18" s="70">
        <f t="shared" ref="CS18" si="111">SUM(CS19:CS21)</f>
        <v>116.7</v>
      </c>
      <c r="CT18" s="70">
        <f t="shared" ref="CT18" si="112">SUM(CT19:CT21)</f>
        <v>129.4</v>
      </c>
      <c r="CU18" s="70">
        <f t="shared" ref="CU18" si="113">SUM(CU19:CU21)</f>
        <v>45</v>
      </c>
      <c r="CV18" s="70">
        <f t="shared" ref="CV18" si="114">SUM(CV19:CV21)</f>
        <v>44</v>
      </c>
      <c r="CW18" s="70">
        <f t="shared" ref="CW18" si="115">SUM(CW19:CW21)</f>
        <v>54</v>
      </c>
      <c r="CX18" s="70">
        <f t="shared" ref="CX18" si="116">SUM(CX19:CX21)</f>
        <v>67</v>
      </c>
      <c r="CY18" s="70">
        <f t="shared" ref="CY18" si="117">SUM(CY19:CY21)</f>
        <v>120</v>
      </c>
      <c r="CZ18" s="70">
        <f t="shared" ref="CZ18" si="118">SUM(CZ19:CZ21)</f>
        <v>45</v>
      </c>
      <c r="DA18" s="70">
        <f t="shared" ref="DA18" si="119">SUM(DA19:DA21)</f>
        <v>71.400000000000006</v>
      </c>
      <c r="DB18" s="70">
        <f t="shared" ref="DB18" si="120">SUM(DB19:DB21)</f>
        <v>104.8</v>
      </c>
      <c r="DC18" s="70">
        <f t="shared" ref="DC18" si="121">SUM(DC19:DC21)</f>
        <v>0</v>
      </c>
      <c r="DD18" s="71">
        <f t="shared" ref="DD18:DF18" si="122">SUM(DD19:DD21)</f>
        <v>115.1</v>
      </c>
      <c r="DE18" s="89">
        <f t="shared" si="122"/>
        <v>113.3</v>
      </c>
      <c r="DF18" s="89">
        <f t="shared" si="122"/>
        <v>23.5</v>
      </c>
      <c r="DG18" s="71">
        <f t="shared" ref="DG18:EG18" si="123">SUM(DG19:DG21)</f>
        <v>61.2</v>
      </c>
      <c r="DH18" s="71">
        <f t="shared" si="123"/>
        <v>94.5</v>
      </c>
      <c r="DI18" s="71">
        <f t="shared" si="123"/>
        <v>89.3</v>
      </c>
      <c r="DJ18" s="71">
        <f t="shared" si="123"/>
        <v>0</v>
      </c>
      <c r="DK18" s="71">
        <f t="shared" si="123"/>
        <v>0</v>
      </c>
      <c r="DL18" s="71">
        <f t="shared" si="123"/>
        <v>79</v>
      </c>
      <c r="DM18" s="71">
        <f t="shared" si="123"/>
        <v>147.9</v>
      </c>
      <c r="DN18" s="71">
        <f t="shared" si="123"/>
        <v>105.6</v>
      </c>
      <c r="DO18" s="71">
        <f t="shared" si="123"/>
        <v>51</v>
      </c>
      <c r="DP18" s="71">
        <f t="shared" si="123"/>
        <v>62</v>
      </c>
      <c r="DQ18" s="71">
        <f t="shared" si="123"/>
        <v>0</v>
      </c>
      <c r="DR18" s="71">
        <f t="shared" si="123"/>
        <v>80</v>
      </c>
      <c r="DS18" s="71">
        <f t="shared" si="123"/>
        <v>113</v>
      </c>
      <c r="DT18" s="71">
        <f t="shared" si="123"/>
        <v>69</v>
      </c>
      <c r="DU18" s="71">
        <f t="shared" si="123"/>
        <v>95</v>
      </c>
      <c r="DV18" s="71">
        <f t="shared" si="123"/>
        <v>127.9</v>
      </c>
      <c r="DW18" s="71">
        <f t="shared" si="123"/>
        <v>97.2</v>
      </c>
      <c r="DX18" s="71">
        <f t="shared" si="123"/>
        <v>0</v>
      </c>
      <c r="DY18" s="71">
        <f t="shared" si="123"/>
        <v>32</v>
      </c>
      <c r="DZ18" s="71">
        <f t="shared" si="123"/>
        <v>60</v>
      </c>
      <c r="EA18" s="71">
        <f t="shared" si="123"/>
        <v>112</v>
      </c>
      <c r="EB18" s="71">
        <f t="shared" si="123"/>
        <v>57</v>
      </c>
      <c r="EC18" s="71">
        <f t="shared" si="123"/>
        <v>37</v>
      </c>
      <c r="ED18" s="71">
        <f t="shared" si="123"/>
        <v>55</v>
      </c>
      <c r="EE18" s="71">
        <f t="shared" si="123"/>
        <v>0</v>
      </c>
      <c r="EF18" s="71">
        <f t="shared" si="123"/>
        <v>84</v>
      </c>
      <c r="EG18" s="71">
        <f t="shared" si="123"/>
        <v>17</v>
      </c>
      <c r="EH18" s="99">
        <f t="shared" ref="EH18:FE18" si="124">SUM(EH19:EH21)</f>
        <v>0</v>
      </c>
      <c r="EI18" s="159">
        <f t="shared" si="124"/>
        <v>0</v>
      </c>
      <c r="EJ18" s="99">
        <f t="shared" si="124"/>
        <v>0</v>
      </c>
      <c r="EK18" s="99">
        <f t="shared" si="124"/>
        <v>89.2</v>
      </c>
      <c r="EL18" s="99">
        <f t="shared" si="124"/>
        <v>32.6</v>
      </c>
      <c r="EM18" s="99">
        <f t="shared" si="124"/>
        <v>0</v>
      </c>
      <c r="EN18" s="99">
        <f t="shared" si="124"/>
        <v>131.5</v>
      </c>
      <c r="EO18" s="99">
        <f t="shared" si="124"/>
        <v>71.63</v>
      </c>
      <c r="EP18" s="99">
        <f t="shared" si="124"/>
        <v>129.4</v>
      </c>
      <c r="EQ18" s="99">
        <f t="shared" si="124"/>
        <v>121.6</v>
      </c>
      <c r="ER18" s="99">
        <f t="shared" si="124"/>
        <v>91.2</v>
      </c>
      <c r="ES18" s="99">
        <f t="shared" si="124"/>
        <v>73.8</v>
      </c>
      <c r="ET18" s="99">
        <f t="shared" si="124"/>
        <v>0</v>
      </c>
      <c r="EU18" s="99">
        <f t="shared" si="124"/>
        <v>51.43</v>
      </c>
      <c r="EV18" s="99">
        <f t="shared" si="124"/>
        <v>75.8</v>
      </c>
      <c r="EW18" s="99">
        <f t="shared" si="124"/>
        <v>63.8</v>
      </c>
      <c r="EX18" s="99">
        <f t="shared" si="124"/>
        <v>143.5</v>
      </c>
      <c r="EY18" s="99">
        <f t="shared" si="124"/>
        <v>34.799999999999997</v>
      </c>
      <c r="EZ18" s="99">
        <f t="shared" si="124"/>
        <v>94.63</v>
      </c>
      <c r="FA18" s="99">
        <f t="shared" si="124"/>
        <v>69.099999999999994</v>
      </c>
      <c r="FB18" s="99">
        <f t="shared" si="124"/>
        <v>95.5</v>
      </c>
      <c r="FC18" s="99">
        <f t="shared" si="124"/>
        <v>53.1</v>
      </c>
      <c r="FD18" s="99">
        <f t="shared" si="124"/>
        <v>39.799999999999997</v>
      </c>
      <c r="FE18" s="99">
        <f t="shared" si="124"/>
        <v>37.9</v>
      </c>
      <c r="FF18" s="99">
        <f t="shared" ref="FF18:FH18" si="125">SUM(FF19:FF21)</f>
        <v>73.400000000000006</v>
      </c>
      <c r="FG18" s="99">
        <f t="shared" si="125"/>
        <v>0</v>
      </c>
      <c r="FH18" s="99">
        <f t="shared" si="125"/>
        <v>87.13</v>
      </c>
      <c r="FI18" s="99">
        <f t="shared" ref="FI18:FL18" si="126">SUM(FI19:FI21)</f>
        <v>24.8</v>
      </c>
      <c r="FJ18" s="99">
        <f t="shared" si="126"/>
        <v>25.9</v>
      </c>
      <c r="FK18" s="99">
        <f t="shared" si="126"/>
        <v>87.43</v>
      </c>
      <c r="FL18" s="99">
        <f t="shared" si="126"/>
        <v>55.9</v>
      </c>
      <c r="FM18" s="99">
        <f t="shared" ref="FM18" si="127">SUM(FM19:FM21)</f>
        <v>20.5</v>
      </c>
      <c r="FN18" s="94">
        <f>SUM(FN19:FN21)</f>
        <v>0</v>
      </c>
      <c r="FO18" s="94">
        <f>SUM(FO19:FO21)</f>
        <v>66</v>
      </c>
      <c r="FP18" s="94">
        <f>SUM(FP19:FP21)</f>
        <v>82</v>
      </c>
      <c r="FQ18" s="94">
        <f t="shared" ref="FQ18" si="128">SUM(FQ19:FQ21)</f>
        <v>83</v>
      </c>
      <c r="FR18" s="94">
        <f t="shared" ref="FR18" si="129">SUM(FR19:FR21)</f>
        <v>70</v>
      </c>
      <c r="FS18" s="94">
        <f t="shared" ref="FS18" si="130">SUM(FS19:FS21)</f>
        <v>38</v>
      </c>
      <c r="FT18" s="94">
        <f t="shared" ref="FT18" si="131">SUM(FT19:FT21)</f>
        <v>119</v>
      </c>
      <c r="FU18" s="94">
        <f t="shared" ref="FU18" si="132">SUM(FU19:FU21)</f>
        <v>0</v>
      </c>
      <c r="FV18" s="94">
        <f t="shared" ref="FV18" si="133">SUM(FV19:FV21)</f>
        <v>44</v>
      </c>
      <c r="FW18" s="94">
        <f t="shared" ref="FW18" si="134">SUM(FW19:FW21)</f>
        <v>117</v>
      </c>
      <c r="FX18" s="94">
        <f t="shared" ref="FX18" si="135">SUM(FX19:FX21)</f>
        <v>23</v>
      </c>
      <c r="FY18" s="94">
        <f t="shared" ref="FY18" si="136">SUM(FY19:FY21)</f>
        <v>40</v>
      </c>
      <c r="FZ18" s="94">
        <f t="shared" ref="FZ18" si="137">SUM(FZ19:FZ21)</f>
        <v>80</v>
      </c>
      <c r="GA18" s="94">
        <f t="shared" ref="GA18" si="138">SUM(GA19:GA21)</f>
        <v>77</v>
      </c>
      <c r="GB18" s="94">
        <f t="shared" ref="GB18" si="139">SUM(GB19:GB21)</f>
        <v>0</v>
      </c>
      <c r="GC18" s="94">
        <f t="shared" ref="GC18" si="140">SUM(GC19:GC21)</f>
        <v>71</v>
      </c>
      <c r="GD18" s="94">
        <f t="shared" ref="GD18" si="141">SUM(GD19:GD21)</f>
        <v>91</v>
      </c>
      <c r="GE18" s="94">
        <f t="shared" ref="GE18" si="142">SUM(GE19:GE21)</f>
        <v>44</v>
      </c>
      <c r="GF18" s="94">
        <f t="shared" ref="GF18" si="143">SUM(GF19:GF21)</f>
        <v>94</v>
      </c>
      <c r="GG18" s="94">
        <f t="shared" ref="GG18" si="144">SUM(GG19:GG21)</f>
        <v>137</v>
      </c>
      <c r="GH18" s="94">
        <f t="shared" ref="GH18" si="145">SUM(GH19:GH21)</f>
        <v>43</v>
      </c>
      <c r="GI18" s="94">
        <f t="shared" ref="GI18" si="146">SUM(GI19:GI21)</f>
        <v>0</v>
      </c>
      <c r="GJ18" s="94">
        <f t="shared" ref="GJ18" si="147">SUM(GJ19:GJ21)</f>
        <v>83</v>
      </c>
      <c r="GK18" s="94">
        <f t="shared" ref="GK18" si="148">SUM(GK19:GK21)</f>
        <v>90</v>
      </c>
      <c r="GL18" s="94">
        <f t="shared" ref="GL18" si="149">SUM(GL19:GL21)</f>
        <v>111</v>
      </c>
      <c r="GM18" s="94">
        <f t="shared" ref="GM18" si="150">SUM(GM19:GM21)</f>
        <v>45</v>
      </c>
      <c r="GN18" s="94">
        <f t="shared" ref="GN18" si="151">SUM(GN19:GN21)</f>
        <v>58</v>
      </c>
      <c r="GO18" s="94">
        <f t="shared" ref="GO18" si="152">SUM(GO19:GO21)</f>
        <v>87</v>
      </c>
      <c r="GP18" s="94">
        <f t="shared" ref="GP18:HW18" si="153">SUM(GP19:GP21)</f>
        <v>0</v>
      </c>
      <c r="GQ18" s="94">
        <f t="shared" ref="GQ18:HU18" si="154">SUM(GQ19:GQ21)</f>
        <v>30</v>
      </c>
      <c r="GR18" s="94">
        <f t="shared" si="153"/>
        <v>96.9</v>
      </c>
      <c r="GS18" s="94">
        <f t="shared" si="154"/>
        <v>17.3</v>
      </c>
      <c r="GT18" s="94">
        <f t="shared" si="153"/>
        <v>45</v>
      </c>
      <c r="GU18" s="94">
        <f t="shared" si="154"/>
        <v>74.5</v>
      </c>
      <c r="GV18" s="94">
        <f t="shared" si="153"/>
        <v>87.5</v>
      </c>
      <c r="GW18" s="94">
        <f t="shared" si="154"/>
        <v>0</v>
      </c>
      <c r="GX18" s="94">
        <f t="shared" si="153"/>
        <v>75.3</v>
      </c>
      <c r="GY18" s="94">
        <f t="shared" si="154"/>
        <v>90</v>
      </c>
      <c r="GZ18" s="94">
        <f t="shared" si="153"/>
        <v>141.69999999999999</v>
      </c>
      <c r="HA18" s="94">
        <f t="shared" si="154"/>
        <v>67.599999999999994</v>
      </c>
      <c r="HB18" s="94">
        <f t="shared" si="153"/>
        <v>73.8</v>
      </c>
      <c r="HC18" s="94">
        <f t="shared" si="154"/>
        <v>22.3</v>
      </c>
      <c r="HD18" s="94">
        <f t="shared" si="153"/>
        <v>0</v>
      </c>
      <c r="HE18" s="94">
        <f t="shared" si="154"/>
        <v>69.53</v>
      </c>
      <c r="HF18" s="94">
        <f t="shared" si="153"/>
        <v>144.30000000000001</v>
      </c>
      <c r="HG18" s="94">
        <f t="shared" si="154"/>
        <v>38.5</v>
      </c>
      <c r="HH18" s="94">
        <f t="shared" si="153"/>
        <v>73.5</v>
      </c>
      <c r="HI18" s="94">
        <f t="shared" si="154"/>
        <v>38.299999999999997</v>
      </c>
      <c r="HJ18" s="94">
        <f t="shared" si="153"/>
        <v>45.96</v>
      </c>
      <c r="HK18" s="94">
        <f t="shared" si="154"/>
        <v>0</v>
      </c>
      <c r="HL18" s="94">
        <f t="shared" si="153"/>
        <v>99.2</v>
      </c>
      <c r="HM18" s="94">
        <f t="shared" si="154"/>
        <v>89.6</v>
      </c>
      <c r="HN18" s="94">
        <f t="shared" si="153"/>
        <v>38.630000000000003</v>
      </c>
      <c r="HO18" s="94">
        <f t="shared" si="154"/>
        <v>75.23</v>
      </c>
      <c r="HP18" s="94">
        <f t="shared" si="153"/>
        <v>96.03</v>
      </c>
      <c r="HQ18" s="94">
        <f t="shared" si="154"/>
        <v>53.8</v>
      </c>
      <c r="HR18" s="94">
        <f t="shared" si="153"/>
        <v>0</v>
      </c>
      <c r="HS18" s="94">
        <f t="shared" si="154"/>
        <v>94.4</v>
      </c>
      <c r="HT18" s="94">
        <f t="shared" si="153"/>
        <v>74.83</v>
      </c>
      <c r="HU18" s="94">
        <f t="shared" si="154"/>
        <v>109.73</v>
      </c>
      <c r="HV18" s="94">
        <f t="shared" si="153"/>
        <v>77.5</v>
      </c>
      <c r="HW18" s="94">
        <f t="shared" si="153"/>
        <v>669.5</v>
      </c>
      <c r="HX18" s="94">
        <f t="shared" ref="HX18:IY18" si="155">SUM(HX19:HX21)</f>
        <v>99.6</v>
      </c>
      <c r="HY18" s="94">
        <f t="shared" si="155"/>
        <v>0</v>
      </c>
      <c r="HZ18" s="94">
        <f t="shared" si="155"/>
        <v>86.4</v>
      </c>
      <c r="IA18" s="94">
        <f t="shared" si="155"/>
        <v>135.6</v>
      </c>
      <c r="IB18" s="94">
        <f t="shared" si="155"/>
        <v>117.7</v>
      </c>
      <c r="IC18" s="94">
        <f t="shared" si="155"/>
        <v>121.5</v>
      </c>
      <c r="ID18" s="94">
        <f t="shared" si="155"/>
        <v>104.13</v>
      </c>
      <c r="IE18" s="94">
        <f t="shared" si="155"/>
        <v>9.5</v>
      </c>
      <c r="IF18" s="94">
        <f t="shared" si="155"/>
        <v>0</v>
      </c>
      <c r="IG18" s="94">
        <f t="shared" si="155"/>
        <v>74.3</v>
      </c>
      <c r="IH18" s="94">
        <f t="shared" si="155"/>
        <v>66</v>
      </c>
      <c r="II18" s="94">
        <f t="shared" si="155"/>
        <v>85</v>
      </c>
      <c r="IJ18" s="94">
        <f t="shared" si="155"/>
        <v>72</v>
      </c>
      <c r="IK18" s="94">
        <f t="shared" si="155"/>
        <v>52.7</v>
      </c>
      <c r="IL18" s="94">
        <f t="shared" si="155"/>
        <v>111.1</v>
      </c>
      <c r="IM18" s="94">
        <f t="shared" si="155"/>
        <v>0</v>
      </c>
      <c r="IN18" s="94">
        <f t="shared" si="155"/>
        <v>86.2</v>
      </c>
      <c r="IO18" s="94">
        <f t="shared" si="155"/>
        <v>26</v>
      </c>
      <c r="IP18" s="94">
        <f t="shared" si="155"/>
        <v>93.03</v>
      </c>
      <c r="IQ18" s="94">
        <f t="shared" si="155"/>
        <v>104.7</v>
      </c>
      <c r="IR18" s="94">
        <f t="shared" si="155"/>
        <v>80.400000000000006</v>
      </c>
      <c r="IS18" s="94">
        <f t="shared" si="155"/>
        <v>32.4</v>
      </c>
      <c r="IT18" s="94">
        <f t="shared" si="155"/>
        <v>0</v>
      </c>
      <c r="IU18" s="94">
        <f t="shared" si="155"/>
        <v>135</v>
      </c>
      <c r="IV18" s="94">
        <f t="shared" si="155"/>
        <v>50</v>
      </c>
      <c r="IW18" s="94">
        <f t="shared" si="155"/>
        <v>79</v>
      </c>
      <c r="IX18" s="94">
        <f t="shared" si="155"/>
        <v>95</v>
      </c>
      <c r="IY18" s="94">
        <f t="shared" si="155"/>
        <v>76</v>
      </c>
      <c r="IZ18" s="94">
        <f t="shared" ref="IZ18:JA18" si="156">SUM(IZ19:IZ21)</f>
        <v>78</v>
      </c>
      <c r="JA18" s="94">
        <f t="shared" si="156"/>
        <v>0</v>
      </c>
      <c r="JB18" s="94">
        <f t="shared" ref="JB18:KE18" si="157">SUM(JB19:JB21)</f>
        <v>0</v>
      </c>
      <c r="JC18" s="94">
        <f t="shared" si="157"/>
        <v>0</v>
      </c>
      <c r="JD18" s="94">
        <f t="shared" si="157"/>
        <v>142.30000000000001</v>
      </c>
      <c r="JE18" s="94">
        <f t="shared" si="157"/>
        <v>103.3</v>
      </c>
      <c r="JF18" s="94">
        <f t="shared" si="157"/>
        <v>91.4</v>
      </c>
      <c r="JG18" s="94">
        <f t="shared" si="157"/>
        <v>62.6</v>
      </c>
      <c r="JH18" s="94">
        <f t="shared" si="157"/>
        <v>0</v>
      </c>
      <c r="JI18" s="94">
        <f t="shared" si="157"/>
        <v>69.8</v>
      </c>
      <c r="JJ18" s="94">
        <f t="shared" si="157"/>
        <v>109.23</v>
      </c>
      <c r="JK18" s="94">
        <f t="shared" si="157"/>
        <v>78.7</v>
      </c>
      <c r="JL18" s="94">
        <f t="shared" si="157"/>
        <v>83.23</v>
      </c>
      <c r="JM18" s="94">
        <f t="shared" si="157"/>
        <v>57.7</v>
      </c>
      <c r="JN18" s="94">
        <f t="shared" si="157"/>
        <v>81.900000000000006</v>
      </c>
      <c r="JO18" s="94">
        <f t="shared" si="157"/>
        <v>0</v>
      </c>
      <c r="JP18" s="94">
        <f t="shared" si="157"/>
        <v>113</v>
      </c>
      <c r="JQ18" s="94">
        <f t="shared" si="157"/>
        <v>109</v>
      </c>
      <c r="JR18" s="94">
        <f t="shared" si="157"/>
        <v>73</v>
      </c>
      <c r="JS18" s="94">
        <f t="shared" si="157"/>
        <v>22</v>
      </c>
      <c r="JT18" s="94">
        <f t="shared" si="157"/>
        <v>51</v>
      </c>
      <c r="JU18" s="94">
        <f t="shared" si="157"/>
        <v>27</v>
      </c>
      <c r="JV18" s="94">
        <f t="shared" si="157"/>
        <v>0</v>
      </c>
      <c r="JW18" s="94">
        <f t="shared" si="157"/>
        <v>75</v>
      </c>
      <c r="JX18" s="94">
        <f t="shared" si="157"/>
        <v>40</v>
      </c>
      <c r="JY18" s="94">
        <f t="shared" si="157"/>
        <v>26</v>
      </c>
      <c r="JZ18" s="94">
        <f t="shared" si="157"/>
        <v>85</v>
      </c>
      <c r="KA18" s="94">
        <f t="shared" si="157"/>
        <v>26</v>
      </c>
      <c r="KB18" s="94">
        <f t="shared" si="157"/>
        <v>83</v>
      </c>
      <c r="KC18" s="94">
        <f t="shared" si="157"/>
        <v>0</v>
      </c>
      <c r="KD18" s="94">
        <f t="shared" si="157"/>
        <v>51.2</v>
      </c>
      <c r="KE18" s="94">
        <f t="shared" si="157"/>
        <v>57</v>
      </c>
      <c r="KF18" s="94">
        <f t="shared" ref="KF18:LJ18" si="158">SUM(KF19:KF21)</f>
        <v>28.36</v>
      </c>
      <c r="KG18" s="94">
        <f t="shared" si="158"/>
        <v>36.1</v>
      </c>
      <c r="KH18" s="94">
        <f t="shared" si="158"/>
        <v>61.3</v>
      </c>
      <c r="KI18" s="94">
        <f t="shared" si="158"/>
        <v>46.7</v>
      </c>
      <c r="KJ18" s="94">
        <f t="shared" si="158"/>
        <v>0</v>
      </c>
      <c r="KK18" s="94">
        <f t="shared" si="158"/>
        <v>110.3</v>
      </c>
      <c r="KL18" s="94">
        <f t="shared" si="158"/>
        <v>99.3</v>
      </c>
      <c r="KM18" s="94">
        <f t="shared" si="158"/>
        <v>25.4</v>
      </c>
      <c r="KN18" s="94">
        <f t="shared" si="158"/>
        <v>55.03</v>
      </c>
      <c r="KO18" s="94">
        <f t="shared" si="158"/>
        <v>65.5</v>
      </c>
      <c r="KP18" s="94">
        <f t="shared" si="158"/>
        <v>27.1</v>
      </c>
      <c r="KQ18" s="94">
        <f t="shared" si="158"/>
        <v>0</v>
      </c>
      <c r="KR18" s="94">
        <f t="shared" si="158"/>
        <v>101.2</v>
      </c>
      <c r="KS18" s="94">
        <f t="shared" si="158"/>
        <v>80.099999999999994</v>
      </c>
      <c r="KT18" s="94">
        <f t="shared" si="158"/>
        <v>39.700000000000003</v>
      </c>
      <c r="KU18" s="94">
        <f t="shared" si="158"/>
        <v>52.7</v>
      </c>
      <c r="KV18" s="94">
        <f t="shared" si="158"/>
        <v>106.46</v>
      </c>
      <c r="KW18" s="94">
        <f t="shared" si="158"/>
        <v>41.1</v>
      </c>
      <c r="KX18" s="94">
        <f t="shared" si="158"/>
        <v>0</v>
      </c>
      <c r="KY18" s="94">
        <f t="shared" si="158"/>
        <v>36.299999999999997</v>
      </c>
      <c r="KZ18" s="94">
        <f t="shared" si="158"/>
        <v>149.4</v>
      </c>
      <c r="LA18" s="94">
        <f t="shared" si="158"/>
        <v>47.8</v>
      </c>
      <c r="LB18" s="94">
        <f t="shared" si="158"/>
        <v>41.7</v>
      </c>
      <c r="LC18" s="94">
        <f t="shared" si="158"/>
        <v>60.7</v>
      </c>
      <c r="LD18" s="94">
        <f t="shared" si="158"/>
        <v>73.099999999999994</v>
      </c>
      <c r="LE18" s="94">
        <f t="shared" si="158"/>
        <v>0</v>
      </c>
      <c r="LF18" s="94">
        <f t="shared" si="158"/>
        <v>94.53</v>
      </c>
      <c r="LG18" s="94">
        <f t="shared" si="158"/>
        <v>7</v>
      </c>
      <c r="LH18" s="94">
        <f t="shared" si="158"/>
        <v>44</v>
      </c>
      <c r="LI18" s="94">
        <f t="shared" si="158"/>
        <v>0</v>
      </c>
      <c r="LJ18" s="94">
        <f t="shared" si="158"/>
        <v>0</v>
      </c>
      <c r="LK18" s="94">
        <f t="shared" ref="LK18:NS18" si="159">SUM(LK19:LK21)</f>
        <v>21.4</v>
      </c>
      <c r="LL18" s="94">
        <f t="shared" si="159"/>
        <v>0</v>
      </c>
      <c r="LM18" s="94">
        <f t="shared" si="159"/>
        <v>33</v>
      </c>
      <c r="LN18" s="94">
        <f t="shared" si="159"/>
        <v>76.2</v>
      </c>
      <c r="LO18" s="94">
        <f t="shared" si="159"/>
        <v>76.7</v>
      </c>
      <c r="LP18" s="94">
        <f t="shared" si="159"/>
        <v>11.6</v>
      </c>
      <c r="LQ18" s="94">
        <f t="shared" si="159"/>
        <v>33.799999999999997</v>
      </c>
      <c r="LR18" s="94">
        <f t="shared" si="159"/>
        <v>30.4</v>
      </c>
      <c r="LS18" s="94">
        <f t="shared" si="159"/>
        <v>0</v>
      </c>
      <c r="LT18" s="94">
        <f t="shared" si="159"/>
        <v>43.4</v>
      </c>
      <c r="LU18" s="94">
        <f t="shared" si="159"/>
        <v>67.63</v>
      </c>
      <c r="LV18" s="94">
        <f t="shared" si="159"/>
        <v>13.1</v>
      </c>
      <c r="LW18" s="94">
        <f t="shared" si="159"/>
        <v>46.5</v>
      </c>
      <c r="LX18" s="94">
        <f t="shared" si="159"/>
        <v>34.799999999999997</v>
      </c>
      <c r="LY18" s="94">
        <f t="shared" si="159"/>
        <v>66.430000000000007</v>
      </c>
      <c r="LZ18" s="94">
        <f t="shared" si="159"/>
        <v>0</v>
      </c>
      <c r="MA18" s="94">
        <f t="shared" si="159"/>
        <v>112.3</v>
      </c>
      <c r="MB18" s="94">
        <f t="shared" si="159"/>
        <v>39.5</v>
      </c>
      <c r="MC18" s="94">
        <f t="shared" si="159"/>
        <v>31</v>
      </c>
      <c r="MD18" s="94">
        <f t="shared" si="159"/>
        <v>25.2</v>
      </c>
      <c r="ME18" s="94">
        <f t="shared" si="159"/>
        <v>0</v>
      </c>
      <c r="MF18" s="94">
        <f t="shared" si="159"/>
        <v>40.630000000000003</v>
      </c>
      <c r="MG18" s="94">
        <f t="shared" si="159"/>
        <v>0</v>
      </c>
      <c r="MH18" s="94">
        <f t="shared" si="159"/>
        <v>47</v>
      </c>
      <c r="MI18" s="94">
        <f t="shared" si="159"/>
        <v>7</v>
      </c>
      <c r="MJ18" s="94">
        <f t="shared" si="159"/>
        <v>42</v>
      </c>
      <c r="MK18" s="94">
        <f t="shared" si="159"/>
        <v>35</v>
      </c>
      <c r="ML18" s="94">
        <f t="shared" si="159"/>
        <v>30</v>
      </c>
      <c r="MM18" s="94">
        <f t="shared" si="159"/>
        <v>37</v>
      </c>
      <c r="MN18" s="94">
        <f t="shared" ref="MN18" si="160">SUM(MN19:MN21)</f>
        <v>0</v>
      </c>
      <c r="MO18" s="94">
        <f t="shared" si="159"/>
        <v>81.63</v>
      </c>
      <c r="MP18" s="94">
        <f t="shared" si="159"/>
        <v>70.3</v>
      </c>
      <c r="MQ18" s="94">
        <f t="shared" si="159"/>
        <v>36.299999999999997</v>
      </c>
      <c r="MR18" s="94">
        <f t="shared" si="159"/>
        <v>58.4</v>
      </c>
      <c r="MS18" s="94">
        <f t="shared" si="159"/>
        <v>33.6</v>
      </c>
      <c r="MT18" s="94">
        <f t="shared" si="159"/>
        <v>19.2</v>
      </c>
      <c r="MU18" s="94">
        <f t="shared" si="159"/>
        <v>0</v>
      </c>
      <c r="MV18" s="94">
        <f t="shared" si="159"/>
        <v>39.43</v>
      </c>
      <c r="MW18" s="94">
        <f t="shared" si="159"/>
        <v>18.7</v>
      </c>
      <c r="MX18" s="94">
        <f t="shared" si="159"/>
        <v>23.83</v>
      </c>
      <c r="MY18" s="94">
        <f t="shared" si="159"/>
        <v>18.399999999999999</v>
      </c>
      <c r="MZ18" s="94">
        <f t="shared" si="159"/>
        <v>65.400000000000006</v>
      </c>
      <c r="NA18" s="94">
        <f t="shared" si="159"/>
        <v>41</v>
      </c>
      <c r="NB18" s="94">
        <f t="shared" si="159"/>
        <v>0</v>
      </c>
      <c r="NC18" s="94">
        <f t="shared" si="159"/>
        <v>55.8</v>
      </c>
      <c r="ND18" s="94">
        <f t="shared" si="159"/>
        <v>35.1</v>
      </c>
      <c r="NE18" s="94">
        <f t="shared" si="159"/>
        <v>82</v>
      </c>
      <c r="NF18" s="94">
        <f t="shared" si="159"/>
        <v>69.930000000000007</v>
      </c>
      <c r="NG18" s="94">
        <f t="shared" si="159"/>
        <v>73.3</v>
      </c>
      <c r="NH18" s="94">
        <f t="shared" si="159"/>
        <v>30.9</v>
      </c>
      <c r="NI18" s="94">
        <f t="shared" si="159"/>
        <v>0</v>
      </c>
      <c r="NJ18" s="94">
        <f t="shared" si="159"/>
        <v>123.13</v>
      </c>
      <c r="NK18" s="94">
        <f t="shared" si="159"/>
        <v>36.9</v>
      </c>
      <c r="NL18" s="94">
        <f t="shared" si="159"/>
        <v>26.2</v>
      </c>
      <c r="NM18" s="94">
        <f t="shared" si="159"/>
        <v>30.9</v>
      </c>
      <c r="NN18" s="94">
        <f t="shared" si="159"/>
        <v>19.5</v>
      </c>
      <c r="NO18" s="94">
        <f t="shared" si="159"/>
        <v>69.599999999999994</v>
      </c>
      <c r="NP18" s="94">
        <f t="shared" si="159"/>
        <v>0</v>
      </c>
      <c r="NQ18" s="94">
        <f t="shared" si="159"/>
        <v>19</v>
      </c>
      <c r="NR18" s="94">
        <f t="shared" si="159"/>
        <v>69</v>
      </c>
      <c r="NS18" s="94">
        <f t="shared" si="159"/>
        <v>0</v>
      </c>
      <c r="NW18" s="230" t="s">
        <v>9</v>
      </c>
      <c r="NX18" s="33">
        <f>NX8/10^9</f>
        <v>3.4800409170000002</v>
      </c>
      <c r="NY18" s="33">
        <f>NY8/10^9</f>
        <v>4.6100101230000003</v>
      </c>
      <c r="NZ18" s="33">
        <f>NZ8/10^9</f>
        <v>5.0982072949999999</v>
      </c>
      <c r="OA18" s="33">
        <f>OA8/10^9</f>
        <v>4.5198953209999999</v>
      </c>
      <c r="OB18" s="33">
        <f>OB8/10^9</f>
        <v>5.0451433889999997</v>
      </c>
      <c r="OC18" s="33">
        <f>OC8/10^9</f>
        <v>4.884544483</v>
      </c>
      <c r="OD18" s="33">
        <f>OD8/10^9</f>
        <v>4.899385112</v>
      </c>
      <c r="OE18" s="33">
        <f>OE8/10^9</f>
        <v>3.7349400589999999</v>
      </c>
      <c r="OF18" s="33">
        <f>OF8/10^9</f>
        <v>4.5480325400000003</v>
      </c>
      <c r="OG18" s="33">
        <f>OG8/10^9</f>
        <v>5.0074211259999997</v>
      </c>
      <c r="OH18" s="33">
        <f>OH8/10^9</f>
        <v>5.14344146</v>
      </c>
      <c r="OI18" s="33">
        <f>OI8/10^9</f>
        <v>0</v>
      </c>
      <c r="OJ18" s="326">
        <f>OJ8/10^9</f>
        <v>50.971061825</v>
      </c>
      <c r="OK18" s="33">
        <f>OK8/10^9</f>
        <v>13.188258335</v>
      </c>
      <c r="OL18" s="33">
        <f>OL8/10^9</f>
        <v>14.449583193</v>
      </c>
      <c r="OM18" s="33">
        <f>OM8/10^9</f>
        <v>13.182357711</v>
      </c>
      <c r="ON18" s="33">
        <f>ON8/10^9</f>
        <v>10.150862586000001</v>
      </c>
      <c r="OP18" s="94">
        <f t="shared" ref="OP18:OR18" si="161">SUM(OP19:OP21)</f>
        <v>0</v>
      </c>
      <c r="OQ18" s="94">
        <f t="shared" si="161"/>
        <v>49.8</v>
      </c>
      <c r="OR18" s="94">
        <f t="shared" si="161"/>
        <v>45.03</v>
      </c>
      <c r="OS18" s="94">
        <f t="shared" ref="OS18:PT18" si="162">SUM(OS19:OS21)</f>
        <v>0</v>
      </c>
      <c r="OT18" s="94">
        <f t="shared" si="162"/>
        <v>41.8</v>
      </c>
      <c r="OU18" s="94">
        <f t="shared" si="162"/>
        <v>96.75</v>
      </c>
      <c r="OV18" s="94">
        <f t="shared" si="162"/>
        <v>112.56</v>
      </c>
      <c r="OW18" s="94">
        <f t="shared" si="162"/>
        <v>51.13</v>
      </c>
      <c r="OX18" s="94">
        <f t="shared" si="162"/>
        <v>4.5999999999999996</v>
      </c>
      <c r="OY18" s="94">
        <f t="shared" si="162"/>
        <v>111.7</v>
      </c>
      <c r="OZ18" s="94">
        <f t="shared" si="162"/>
        <v>0</v>
      </c>
      <c r="PA18" s="94">
        <f t="shared" si="162"/>
        <v>53.03</v>
      </c>
      <c r="PB18" s="94">
        <f t="shared" si="162"/>
        <v>106.03</v>
      </c>
      <c r="PC18" s="94">
        <f t="shared" si="162"/>
        <v>49.23</v>
      </c>
      <c r="PD18" s="94">
        <f t="shared" si="162"/>
        <v>40.700000000000003</v>
      </c>
      <c r="PE18" s="94">
        <f t="shared" si="162"/>
        <v>44.73</v>
      </c>
      <c r="PF18" s="94">
        <f>SUM(PF19:PF21)</f>
        <v>42.1</v>
      </c>
      <c r="PG18" s="94">
        <f t="shared" si="162"/>
        <v>0</v>
      </c>
      <c r="PH18" s="94">
        <f t="shared" si="162"/>
        <v>55</v>
      </c>
      <c r="PI18" s="94">
        <f t="shared" si="162"/>
        <v>0</v>
      </c>
      <c r="PJ18" s="94">
        <f t="shared" si="162"/>
        <v>0</v>
      </c>
      <c r="PK18" s="94">
        <f t="shared" si="162"/>
        <v>0</v>
      </c>
      <c r="PL18" s="94">
        <f t="shared" si="162"/>
        <v>0</v>
      </c>
      <c r="PM18" s="94">
        <f t="shared" si="162"/>
        <v>0</v>
      </c>
      <c r="PN18" s="94">
        <f t="shared" si="162"/>
        <v>0</v>
      </c>
      <c r="PO18" s="94">
        <f t="shared" si="162"/>
        <v>0</v>
      </c>
      <c r="PP18" s="94">
        <f t="shared" si="162"/>
        <v>0</v>
      </c>
      <c r="PQ18" s="94">
        <f t="shared" si="162"/>
        <v>0</v>
      </c>
      <c r="PR18" s="94">
        <f t="shared" si="162"/>
        <v>0</v>
      </c>
      <c r="PS18" s="94">
        <f t="shared" si="162"/>
        <v>0</v>
      </c>
      <c r="PT18" s="94">
        <f t="shared" si="162"/>
        <v>0</v>
      </c>
    </row>
    <row r="19" spans="2:436">
      <c r="B19" s="386"/>
      <c r="C19" s="387"/>
      <c r="D19" s="387"/>
      <c r="E19" s="387"/>
      <c r="F19" s="387"/>
      <c r="G19" s="387"/>
      <c r="H19" s="387"/>
      <c r="I19" s="387"/>
      <c r="J19" s="388"/>
      <c r="P19" s="189">
        <f t="shared" si="53"/>
        <v>0</v>
      </c>
      <c r="Q19" s="477" t="s">
        <v>38</v>
      </c>
      <c r="R19" s="58" t="s">
        <v>39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100">
        <v>0</v>
      </c>
      <c r="CA19" s="100">
        <v>0</v>
      </c>
      <c r="CB19" s="100">
        <v>0</v>
      </c>
      <c r="CC19" s="100">
        <v>0</v>
      </c>
      <c r="CD19" s="100">
        <v>0</v>
      </c>
      <c r="CE19" s="100">
        <v>0</v>
      </c>
      <c r="CF19" s="100">
        <v>0</v>
      </c>
      <c r="CG19" s="100">
        <v>0</v>
      </c>
      <c r="CH19" s="100">
        <v>0</v>
      </c>
      <c r="CI19" s="100">
        <v>0</v>
      </c>
      <c r="CJ19" s="100">
        <v>0</v>
      </c>
      <c r="CK19" s="100">
        <v>0</v>
      </c>
      <c r="CL19" s="100">
        <v>0</v>
      </c>
      <c r="CM19" s="100">
        <v>0</v>
      </c>
      <c r="CN19" s="100">
        <v>0</v>
      </c>
      <c r="CO19" s="100">
        <v>0</v>
      </c>
      <c r="CP19" s="100">
        <v>0</v>
      </c>
      <c r="CQ19" s="100">
        <v>0</v>
      </c>
      <c r="CR19" s="100">
        <v>0</v>
      </c>
      <c r="CS19" s="100">
        <v>0</v>
      </c>
      <c r="CT19" s="100">
        <v>0</v>
      </c>
      <c r="CU19" s="100">
        <v>0</v>
      </c>
      <c r="CV19" s="100">
        <v>0</v>
      </c>
      <c r="CW19" s="100">
        <v>0</v>
      </c>
      <c r="CX19" s="100">
        <v>0</v>
      </c>
      <c r="CY19" s="100">
        <v>0</v>
      </c>
      <c r="CZ19" s="100">
        <v>0</v>
      </c>
      <c r="DA19" s="100">
        <v>0</v>
      </c>
      <c r="DB19" s="100">
        <v>0</v>
      </c>
      <c r="DC19" s="100">
        <v>0</v>
      </c>
      <c r="DD19" s="72">
        <v>0</v>
      </c>
      <c r="DE19" s="96">
        <v>0</v>
      </c>
      <c r="DF19" s="96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 s="150">
        <v>0</v>
      </c>
      <c r="EJ19" s="101">
        <v>0</v>
      </c>
      <c r="EK19" s="101">
        <v>0</v>
      </c>
      <c r="EL19" s="101">
        <v>0</v>
      </c>
      <c r="EM19" s="101">
        <v>0</v>
      </c>
      <c r="EN19" s="101">
        <v>0</v>
      </c>
      <c r="EO19" s="101">
        <v>0</v>
      </c>
      <c r="EP19" s="101">
        <v>0</v>
      </c>
      <c r="EQ19" s="101">
        <v>0</v>
      </c>
      <c r="ER19" s="101">
        <v>0</v>
      </c>
      <c r="ES19" s="101">
        <v>0</v>
      </c>
      <c r="ET19" s="101">
        <v>0</v>
      </c>
      <c r="EU19" s="101">
        <v>0</v>
      </c>
      <c r="EV19" s="101">
        <v>0</v>
      </c>
      <c r="EW19" s="101">
        <v>0</v>
      </c>
      <c r="EX19" s="101">
        <v>0</v>
      </c>
      <c r="EY19" s="101">
        <v>0</v>
      </c>
      <c r="EZ19" s="101">
        <v>0</v>
      </c>
      <c r="FA19" s="101">
        <v>0</v>
      </c>
      <c r="FB19" s="101">
        <v>0</v>
      </c>
      <c r="FC19" s="101">
        <v>0</v>
      </c>
      <c r="FD19" s="101">
        <v>0</v>
      </c>
      <c r="FE19" s="101">
        <v>0</v>
      </c>
      <c r="FF19" s="101">
        <v>0</v>
      </c>
      <c r="FG19" s="101">
        <v>0</v>
      </c>
      <c r="FH19" s="101">
        <v>0</v>
      </c>
      <c r="FI19" s="101">
        <v>0</v>
      </c>
      <c r="FJ19" s="101">
        <v>0</v>
      </c>
      <c r="FK19" s="101">
        <v>0</v>
      </c>
      <c r="FL19" s="101">
        <v>0</v>
      </c>
      <c r="FM19" s="101">
        <v>0</v>
      </c>
      <c r="HW19">
        <v>572</v>
      </c>
      <c r="NW19" s="230" t="s">
        <v>8</v>
      </c>
      <c r="NX19" s="30">
        <f>NX9/10^9</f>
        <v>26.910231361000001</v>
      </c>
      <c r="NY19" s="30">
        <f>NY9/10^9</f>
        <v>24.816630240999999</v>
      </c>
      <c r="NZ19" s="30">
        <f>NZ9/10^9</f>
        <v>32.491920962000002</v>
      </c>
      <c r="OA19" s="30">
        <f>OA9/10^9</f>
        <v>29.030407007000001</v>
      </c>
      <c r="OB19" s="30">
        <f>OB9/10^9</f>
        <v>31.379485909</v>
      </c>
      <c r="OC19" s="30">
        <f>OC9/10^9</f>
        <v>29.353291305999999</v>
      </c>
      <c r="OD19" s="30">
        <f>OD9/10^9</f>
        <v>32.585289086000003</v>
      </c>
      <c r="OE19" s="30">
        <f>OE9/10^9</f>
        <v>28.858507960000001</v>
      </c>
      <c r="OF19" s="30">
        <f>OF9/10^9</f>
        <v>30.291391511</v>
      </c>
      <c r="OG19" s="30">
        <f>OG9/10^9</f>
        <v>33.251522164999997</v>
      </c>
      <c r="OH19" s="30">
        <f>OH9/10^9</f>
        <v>32.047190737999998</v>
      </c>
      <c r="OI19" s="30">
        <f>OI9/10^9</f>
        <v>37.459781542000002</v>
      </c>
      <c r="OJ19" s="327">
        <f>OJ9/10^9</f>
        <v>368.475649788</v>
      </c>
      <c r="OK19" s="30">
        <f>OK9/10^9</f>
        <v>84.218782563999994</v>
      </c>
      <c r="OL19" s="30">
        <f>OL9/10^9</f>
        <v>89.763184222000007</v>
      </c>
      <c r="OM19" s="30">
        <f>OM9/10^9</f>
        <v>91.735188557000001</v>
      </c>
      <c r="ON19" s="30">
        <f>ON9/10^9</f>
        <v>102.758494445</v>
      </c>
    </row>
    <row r="20" spans="2:436" ht="19.5" customHeight="1">
      <c r="B20" s="479" t="s">
        <v>0</v>
      </c>
      <c r="C20" s="457" t="s">
        <v>1</v>
      </c>
      <c r="D20" s="457" t="s">
        <v>48</v>
      </c>
      <c r="E20" s="457"/>
      <c r="F20" s="457"/>
      <c r="G20" s="457"/>
      <c r="H20" s="457"/>
      <c r="I20" s="457"/>
      <c r="J20" s="457"/>
      <c r="P20" s="189">
        <f t="shared" si="53"/>
        <v>19.12</v>
      </c>
      <c r="Q20" s="478"/>
      <c r="R20" s="59" t="s">
        <v>40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100">
        <v>0</v>
      </c>
      <c r="CA20" s="100">
        <v>0</v>
      </c>
      <c r="CB20" s="100">
        <v>0</v>
      </c>
      <c r="CC20" s="100">
        <v>0</v>
      </c>
      <c r="CD20" s="100">
        <v>0</v>
      </c>
      <c r="CE20" s="100">
        <v>0</v>
      </c>
      <c r="CF20" s="100">
        <v>0</v>
      </c>
      <c r="CG20" s="100">
        <v>0</v>
      </c>
      <c r="CH20" s="100">
        <v>0</v>
      </c>
      <c r="CI20" s="100">
        <v>0</v>
      </c>
      <c r="CJ20" s="100">
        <v>0</v>
      </c>
      <c r="CK20" s="100">
        <v>0</v>
      </c>
      <c r="CL20" s="100">
        <v>0</v>
      </c>
      <c r="CM20" s="100">
        <v>0</v>
      </c>
      <c r="CN20" s="100">
        <v>0</v>
      </c>
      <c r="CO20" s="100">
        <v>0</v>
      </c>
      <c r="CP20" s="100">
        <v>0</v>
      </c>
      <c r="CQ20" s="100">
        <v>0</v>
      </c>
      <c r="CR20" s="100">
        <v>0</v>
      </c>
      <c r="CS20" s="100">
        <v>0</v>
      </c>
      <c r="CT20" s="100">
        <v>0</v>
      </c>
      <c r="CU20" s="100">
        <v>0</v>
      </c>
      <c r="CV20" s="100">
        <v>0</v>
      </c>
      <c r="CW20" s="100">
        <v>0</v>
      </c>
      <c r="CX20" s="100">
        <v>0</v>
      </c>
      <c r="CY20" s="100">
        <v>0</v>
      </c>
      <c r="CZ20" s="100">
        <v>0</v>
      </c>
      <c r="DA20" s="100">
        <v>0</v>
      </c>
      <c r="DB20" s="100">
        <v>0</v>
      </c>
      <c r="DC20" s="100">
        <v>0</v>
      </c>
      <c r="DD20" s="72">
        <v>0</v>
      </c>
      <c r="DE20" s="96">
        <v>0</v>
      </c>
      <c r="DF20" s="96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 s="158">
        <v>0</v>
      </c>
      <c r="EJ20" s="101">
        <v>0</v>
      </c>
      <c r="EK20" s="101">
        <v>0</v>
      </c>
      <c r="EL20" s="101">
        <v>0</v>
      </c>
      <c r="EM20" s="101">
        <v>0</v>
      </c>
      <c r="EN20" s="101">
        <v>0</v>
      </c>
      <c r="EO20" s="101">
        <v>0</v>
      </c>
      <c r="EP20" s="101">
        <v>0</v>
      </c>
      <c r="EQ20" s="101">
        <v>0</v>
      </c>
      <c r="ER20" s="101">
        <v>0</v>
      </c>
      <c r="ES20" s="101">
        <v>0</v>
      </c>
      <c r="ET20" s="101">
        <v>0</v>
      </c>
      <c r="EU20" s="101">
        <v>0</v>
      </c>
      <c r="EV20" s="101">
        <v>0</v>
      </c>
      <c r="EW20" s="101">
        <v>0</v>
      </c>
      <c r="EX20" s="101">
        <v>0</v>
      </c>
      <c r="EY20" s="101">
        <v>0</v>
      </c>
      <c r="EZ20" s="101">
        <v>0</v>
      </c>
      <c r="FA20" s="101">
        <v>0</v>
      </c>
      <c r="FB20" s="101">
        <v>0</v>
      </c>
      <c r="FC20" s="101">
        <v>0</v>
      </c>
      <c r="FD20" s="101">
        <v>0</v>
      </c>
      <c r="FE20" s="101">
        <v>0</v>
      </c>
      <c r="FF20" s="101">
        <v>0</v>
      </c>
      <c r="FG20" s="101">
        <v>0</v>
      </c>
      <c r="FH20" s="101">
        <v>0</v>
      </c>
      <c r="FI20" s="101">
        <v>0</v>
      </c>
      <c r="FJ20" s="101">
        <v>0</v>
      </c>
      <c r="FK20" s="101">
        <v>0</v>
      </c>
      <c r="FL20" s="101">
        <v>0</v>
      </c>
      <c r="FM20" s="101">
        <v>0</v>
      </c>
      <c r="NW20" s="231" t="s">
        <v>7</v>
      </c>
      <c r="NX20" s="30">
        <f>NX10/10^9</f>
        <v>90.148835077000001</v>
      </c>
      <c r="NY20" s="30">
        <f>NY10/10^9</f>
        <v>105.065034127</v>
      </c>
      <c r="NZ20" s="30">
        <f>NZ10/10^9</f>
        <v>127.656624194</v>
      </c>
      <c r="OA20" s="30">
        <f>OA10/10^9</f>
        <v>116.397098864</v>
      </c>
      <c r="OB20" s="30">
        <f>OB10/10^9</f>
        <v>125.190110123</v>
      </c>
      <c r="OC20" s="30">
        <f>OC10/10^9</f>
        <v>122.990811869</v>
      </c>
      <c r="OD20" s="30">
        <f>OD10/10^9</f>
        <v>133.24584713199999</v>
      </c>
      <c r="OE20" s="30">
        <f>OE10/10^9</f>
        <v>126.595463006</v>
      </c>
      <c r="OF20" s="30">
        <f>OF10/10^9</f>
        <v>130.76480399900001</v>
      </c>
      <c r="OG20" s="30">
        <f>OG10/10^9</f>
        <v>145.60547177399999</v>
      </c>
      <c r="OH20" s="30">
        <f>OH10/10^9</f>
        <v>134.85801964800001</v>
      </c>
      <c r="OI20" s="30">
        <f>OI10/10^9</f>
        <v>144.33361245200001</v>
      </c>
      <c r="OJ20" s="327">
        <f>OJ10/10^9</f>
        <v>1502.851732265</v>
      </c>
      <c r="OK20" s="30">
        <f>OK10/10^9</f>
        <v>322.87049339800001</v>
      </c>
      <c r="OL20" s="30">
        <f>OL10/10^9</f>
        <v>364.57802085600002</v>
      </c>
      <c r="OM20" s="30">
        <f>OM10/10^9</f>
        <v>390.60611413700002</v>
      </c>
      <c r="ON20" s="30">
        <f>ON10/10^9</f>
        <v>424.79710387400002</v>
      </c>
      <c r="OU20">
        <v>19.12</v>
      </c>
    </row>
    <row r="21" spans="2:436" ht="18.75" customHeight="1">
      <c r="B21" s="479"/>
      <c r="C21" s="457"/>
      <c r="D21" s="363" t="s">
        <v>5</v>
      </c>
      <c r="E21" s="363" t="s">
        <v>6</v>
      </c>
      <c r="F21" s="363" t="s">
        <v>7</v>
      </c>
      <c r="G21" s="363" t="s">
        <v>8</v>
      </c>
      <c r="H21" s="363" t="s">
        <v>9</v>
      </c>
      <c r="I21" s="363" t="s">
        <v>10</v>
      </c>
      <c r="J21" s="363" t="s">
        <v>11</v>
      </c>
      <c r="P21" s="189">
        <f t="shared" si="53"/>
        <v>885.07</v>
      </c>
      <c r="Q21" s="147" t="s">
        <v>41</v>
      </c>
      <c r="R21" s="124" t="s">
        <v>42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102">
        <v>47</v>
      </c>
      <c r="CA21" s="102">
        <v>0</v>
      </c>
      <c r="CB21" s="102">
        <v>106</v>
      </c>
      <c r="CC21" s="102">
        <v>143</v>
      </c>
      <c r="CD21" s="102">
        <v>180</v>
      </c>
      <c r="CE21" s="102">
        <v>49</v>
      </c>
      <c r="CF21" s="102">
        <v>85</v>
      </c>
      <c r="CG21" s="102">
        <v>51</v>
      </c>
      <c r="CH21" s="102">
        <v>0</v>
      </c>
      <c r="CI21" s="102">
        <v>115</v>
      </c>
      <c r="CJ21" s="102">
        <v>139</v>
      </c>
      <c r="CK21" s="102">
        <v>64</v>
      </c>
      <c r="CL21" s="100">
        <v>55</v>
      </c>
      <c r="CM21" s="100">
        <v>82</v>
      </c>
      <c r="CN21" s="100">
        <v>76</v>
      </c>
      <c r="CO21" s="100">
        <v>0</v>
      </c>
      <c r="CP21" s="100">
        <v>70</v>
      </c>
      <c r="CQ21" s="100">
        <v>83</v>
      </c>
      <c r="CR21" s="100">
        <v>111</v>
      </c>
      <c r="CS21" s="95">
        <v>116.7</v>
      </c>
      <c r="CT21" s="95">
        <v>129.4</v>
      </c>
      <c r="CU21" s="100">
        <v>45</v>
      </c>
      <c r="CV21" s="100">
        <v>44</v>
      </c>
      <c r="CW21" s="100">
        <v>54</v>
      </c>
      <c r="CX21" s="100">
        <v>67</v>
      </c>
      <c r="CY21" s="100">
        <v>120</v>
      </c>
      <c r="CZ21" s="100">
        <v>45</v>
      </c>
      <c r="DA21" s="103">
        <v>71.400000000000006</v>
      </c>
      <c r="DB21" s="103">
        <v>104.8</v>
      </c>
      <c r="DC21" s="103">
        <v>0</v>
      </c>
      <c r="DD21" s="79">
        <v>115.1</v>
      </c>
      <c r="DE21" s="104">
        <v>113.3</v>
      </c>
      <c r="DF21" s="104">
        <v>23.5</v>
      </c>
      <c r="DG21" s="118">
        <v>61.2</v>
      </c>
      <c r="DH21" s="118">
        <v>94.5</v>
      </c>
      <c r="DI21" s="118">
        <v>89.3</v>
      </c>
      <c r="DJ21">
        <v>0</v>
      </c>
      <c r="DK21">
        <v>0</v>
      </c>
      <c r="DL21" s="118">
        <v>79</v>
      </c>
      <c r="DM21" s="118">
        <v>147.9</v>
      </c>
      <c r="DN21" s="118">
        <v>105.6</v>
      </c>
      <c r="DO21">
        <v>51</v>
      </c>
      <c r="DP21">
        <v>62</v>
      </c>
      <c r="DR21">
        <v>80</v>
      </c>
      <c r="DS21">
        <v>113</v>
      </c>
      <c r="DT21">
        <v>69</v>
      </c>
      <c r="DU21">
        <v>95</v>
      </c>
      <c r="DV21" s="118">
        <v>127.9</v>
      </c>
      <c r="DW21" s="118">
        <v>97.2</v>
      </c>
      <c r="DY21">
        <v>32</v>
      </c>
      <c r="DZ21">
        <v>60</v>
      </c>
      <c r="EA21">
        <v>112</v>
      </c>
      <c r="EB21">
        <v>57</v>
      </c>
      <c r="EC21">
        <v>37</v>
      </c>
      <c r="ED21">
        <v>55</v>
      </c>
      <c r="EE21">
        <v>0</v>
      </c>
      <c r="EF21">
        <v>84</v>
      </c>
      <c r="EG21">
        <v>17</v>
      </c>
      <c r="EH21">
        <v>0</v>
      </c>
      <c r="EI21" s="118">
        <v>0</v>
      </c>
      <c r="EJ21" s="118">
        <v>0</v>
      </c>
      <c r="EK21" s="118">
        <v>89.2</v>
      </c>
      <c r="EL21" s="118">
        <v>32.6</v>
      </c>
      <c r="EM21" s="118">
        <v>0</v>
      </c>
      <c r="EN21" s="118">
        <v>131.5</v>
      </c>
      <c r="EO21" s="118">
        <v>71.63</v>
      </c>
      <c r="EP21" s="118">
        <v>129.4</v>
      </c>
      <c r="EQ21" s="118">
        <v>121.6</v>
      </c>
      <c r="ER21" s="118">
        <v>91.2</v>
      </c>
      <c r="ES21" s="118">
        <v>73.8</v>
      </c>
      <c r="ET21" s="118">
        <v>0</v>
      </c>
      <c r="EU21" s="118">
        <v>51.43</v>
      </c>
      <c r="EV21" s="118">
        <v>75.8</v>
      </c>
      <c r="EW21" s="118">
        <v>63.8</v>
      </c>
      <c r="EX21" s="118">
        <v>143.5</v>
      </c>
      <c r="EY21" s="118">
        <v>34.799999999999997</v>
      </c>
      <c r="EZ21" s="118">
        <v>94.63</v>
      </c>
      <c r="FA21" s="118">
        <v>69.099999999999994</v>
      </c>
      <c r="FB21" s="118">
        <v>95.5</v>
      </c>
      <c r="FC21" s="118">
        <v>53.1</v>
      </c>
      <c r="FD21" s="118">
        <v>39.799999999999997</v>
      </c>
      <c r="FE21" s="118">
        <v>37.9</v>
      </c>
      <c r="FF21" s="118">
        <v>73.400000000000006</v>
      </c>
      <c r="FG21" s="118">
        <v>0</v>
      </c>
      <c r="FH21" s="118">
        <v>87.13</v>
      </c>
      <c r="FI21" s="118">
        <v>24.8</v>
      </c>
      <c r="FJ21" s="118">
        <v>25.9</v>
      </c>
      <c r="FK21" s="118">
        <v>87.43</v>
      </c>
      <c r="FL21" s="118">
        <v>55.9</v>
      </c>
      <c r="FM21" s="118">
        <v>20.5</v>
      </c>
      <c r="FN21" s="197">
        <v>0</v>
      </c>
      <c r="FO21" s="197">
        <v>66</v>
      </c>
      <c r="FP21" s="197">
        <v>82</v>
      </c>
      <c r="FQ21" s="197">
        <v>83</v>
      </c>
      <c r="FR21" s="197">
        <v>70</v>
      </c>
      <c r="FS21" s="197">
        <v>38</v>
      </c>
      <c r="FT21" s="197">
        <v>119</v>
      </c>
      <c r="FU21" s="197">
        <v>0</v>
      </c>
      <c r="FV21" s="197">
        <v>44</v>
      </c>
      <c r="FW21" s="197">
        <v>117</v>
      </c>
      <c r="FX21" s="197">
        <v>23</v>
      </c>
      <c r="FY21" s="197">
        <v>40</v>
      </c>
      <c r="FZ21" s="197">
        <v>80</v>
      </c>
      <c r="GA21" s="197">
        <v>77</v>
      </c>
      <c r="GB21" s="197"/>
      <c r="GC21" s="197">
        <v>71</v>
      </c>
      <c r="GD21" s="197">
        <v>91</v>
      </c>
      <c r="GE21" s="197">
        <v>44</v>
      </c>
      <c r="GF21" s="197">
        <v>94</v>
      </c>
      <c r="GG21" s="197">
        <v>137</v>
      </c>
      <c r="GH21" s="197">
        <v>43</v>
      </c>
      <c r="GI21" s="197"/>
      <c r="GJ21" s="197">
        <v>83</v>
      </c>
      <c r="GK21" s="197">
        <v>90</v>
      </c>
      <c r="GL21" s="197">
        <v>111</v>
      </c>
      <c r="GM21" s="118">
        <v>45</v>
      </c>
      <c r="GN21" s="118">
        <v>58</v>
      </c>
      <c r="GO21" s="118">
        <v>87</v>
      </c>
      <c r="GP21" s="118"/>
      <c r="GQ21" s="118">
        <v>30</v>
      </c>
      <c r="GR21" s="118">
        <v>96.9</v>
      </c>
      <c r="GS21" s="118">
        <v>17.3</v>
      </c>
      <c r="GT21" s="118">
        <v>45</v>
      </c>
      <c r="GU21" s="118">
        <v>74.5</v>
      </c>
      <c r="GV21" s="118">
        <v>87.5</v>
      </c>
      <c r="GW21" s="118">
        <v>0</v>
      </c>
      <c r="GX21" s="118">
        <v>75.3</v>
      </c>
      <c r="GY21" s="118">
        <v>90</v>
      </c>
      <c r="GZ21" s="118">
        <v>141.69999999999999</v>
      </c>
      <c r="HA21" s="118">
        <v>67.599999999999994</v>
      </c>
      <c r="HB21" s="118">
        <v>73.8</v>
      </c>
      <c r="HC21" s="118">
        <v>22.3</v>
      </c>
      <c r="HD21" s="118">
        <v>0</v>
      </c>
      <c r="HE21" s="118">
        <v>69.53</v>
      </c>
      <c r="HF21" s="118">
        <v>144.30000000000001</v>
      </c>
      <c r="HG21" s="118">
        <v>38.5</v>
      </c>
      <c r="HH21" s="118">
        <v>73.5</v>
      </c>
      <c r="HI21" s="118">
        <v>38.299999999999997</v>
      </c>
      <c r="HJ21" s="118">
        <v>45.96</v>
      </c>
      <c r="HK21" s="118">
        <v>0</v>
      </c>
      <c r="HL21" s="118">
        <v>99.2</v>
      </c>
      <c r="HM21" s="118">
        <v>89.6</v>
      </c>
      <c r="HN21" s="118">
        <v>38.630000000000003</v>
      </c>
      <c r="HO21" s="118">
        <v>75.23</v>
      </c>
      <c r="HP21" s="118">
        <v>96.03</v>
      </c>
      <c r="HQ21" s="118">
        <v>53.8</v>
      </c>
      <c r="HR21" s="118">
        <v>0</v>
      </c>
      <c r="HS21" s="118">
        <v>94.4</v>
      </c>
      <c r="HT21" s="118">
        <v>74.83</v>
      </c>
      <c r="HU21" s="118">
        <v>109.73</v>
      </c>
      <c r="HV21" s="118">
        <v>77.5</v>
      </c>
      <c r="HW21" s="118">
        <v>97.5</v>
      </c>
      <c r="HX21" s="118">
        <v>99.6</v>
      </c>
      <c r="HY21" s="118">
        <v>0</v>
      </c>
      <c r="HZ21" s="118">
        <v>86.4</v>
      </c>
      <c r="IA21" s="118">
        <v>135.6</v>
      </c>
      <c r="IB21" s="118">
        <v>117.7</v>
      </c>
      <c r="IC21" s="118">
        <v>121.5</v>
      </c>
      <c r="ID21" s="118">
        <v>104.13</v>
      </c>
      <c r="IE21" s="118">
        <v>9.5</v>
      </c>
      <c r="IF21" s="118">
        <v>0</v>
      </c>
      <c r="IG21" s="118">
        <v>74.3</v>
      </c>
      <c r="IH21" s="118">
        <v>66</v>
      </c>
      <c r="II21" s="118">
        <v>85</v>
      </c>
      <c r="IJ21" s="118">
        <v>72</v>
      </c>
      <c r="IK21" s="118">
        <v>52.7</v>
      </c>
      <c r="IL21" s="118">
        <v>111.1</v>
      </c>
      <c r="IM21" s="118">
        <v>0</v>
      </c>
      <c r="IN21" s="118">
        <v>86.2</v>
      </c>
      <c r="IO21" s="118">
        <v>26</v>
      </c>
      <c r="IP21" s="118">
        <v>93.03</v>
      </c>
      <c r="IQ21" s="118">
        <v>104.7</v>
      </c>
      <c r="IR21" s="118">
        <v>80.400000000000006</v>
      </c>
      <c r="IS21" s="118">
        <v>32.4</v>
      </c>
      <c r="IT21" s="118"/>
      <c r="IU21" s="118">
        <v>135</v>
      </c>
      <c r="IV21" s="118">
        <v>50</v>
      </c>
      <c r="IW21" s="118">
        <v>79</v>
      </c>
      <c r="IX21" s="118">
        <v>95</v>
      </c>
      <c r="IY21" s="118">
        <v>76</v>
      </c>
      <c r="IZ21" s="118">
        <v>78</v>
      </c>
      <c r="JA21" s="118"/>
      <c r="JB21" s="118">
        <v>0</v>
      </c>
      <c r="JC21" s="118">
        <v>0</v>
      </c>
      <c r="JD21" s="118">
        <v>142.30000000000001</v>
      </c>
      <c r="JE21" s="118">
        <v>103.3</v>
      </c>
      <c r="JF21" s="118">
        <v>91.4</v>
      </c>
      <c r="JG21" s="118">
        <v>62.6</v>
      </c>
      <c r="JH21" s="118">
        <v>0</v>
      </c>
      <c r="JI21" s="118">
        <v>69.8</v>
      </c>
      <c r="JJ21" s="118">
        <v>109.23</v>
      </c>
      <c r="JK21" s="118">
        <v>78.7</v>
      </c>
      <c r="JL21" s="118">
        <v>83.23</v>
      </c>
      <c r="JM21" s="118">
        <v>57.7</v>
      </c>
      <c r="JN21" s="118">
        <v>81.900000000000006</v>
      </c>
      <c r="JO21" s="118">
        <v>0</v>
      </c>
      <c r="JP21" s="118">
        <v>113</v>
      </c>
      <c r="JQ21" s="118">
        <v>109</v>
      </c>
      <c r="JR21" s="118">
        <v>73</v>
      </c>
      <c r="JS21" s="118">
        <v>22</v>
      </c>
      <c r="JT21" s="118">
        <v>51</v>
      </c>
      <c r="JU21" s="118">
        <v>27</v>
      </c>
      <c r="JV21" s="118"/>
      <c r="JW21" s="118">
        <v>75</v>
      </c>
      <c r="JX21" s="118">
        <v>40</v>
      </c>
      <c r="JY21" s="118">
        <v>26</v>
      </c>
      <c r="JZ21" s="118">
        <v>85</v>
      </c>
      <c r="KA21" s="118">
        <v>26</v>
      </c>
      <c r="KB21" s="118">
        <v>83</v>
      </c>
      <c r="KC21" s="118"/>
      <c r="KD21" s="118">
        <v>51.2</v>
      </c>
      <c r="KE21" s="118">
        <v>57</v>
      </c>
      <c r="KF21" s="118">
        <v>28.36</v>
      </c>
      <c r="KG21" s="118">
        <v>36.1</v>
      </c>
      <c r="KH21" s="118">
        <v>61.3</v>
      </c>
      <c r="KI21" s="118">
        <v>46.7</v>
      </c>
      <c r="KJ21" s="118">
        <v>0</v>
      </c>
      <c r="KK21" s="118">
        <v>110.3</v>
      </c>
      <c r="KL21" s="118">
        <v>99.3</v>
      </c>
      <c r="KM21" s="118">
        <v>25.4</v>
      </c>
      <c r="KN21" s="118">
        <v>55.03</v>
      </c>
      <c r="KO21" s="118">
        <v>65.5</v>
      </c>
      <c r="KP21" s="118">
        <v>27.1</v>
      </c>
      <c r="KQ21" s="118">
        <v>0</v>
      </c>
      <c r="KR21" s="118">
        <v>101.2</v>
      </c>
      <c r="KS21" s="118">
        <v>80.099999999999994</v>
      </c>
      <c r="KT21" s="118">
        <v>39.700000000000003</v>
      </c>
      <c r="KU21" s="118">
        <v>52.7</v>
      </c>
      <c r="KV21" s="118">
        <v>106.46</v>
      </c>
      <c r="KW21" s="118">
        <v>41.1</v>
      </c>
      <c r="KX21" s="118"/>
      <c r="KY21" s="118">
        <v>36.299999999999997</v>
      </c>
      <c r="KZ21" s="118">
        <v>149.4</v>
      </c>
      <c r="LA21" s="118">
        <v>47.8</v>
      </c>
      <c r="LB21" s="118">
        <v>41.7</v>
      </c>
      <c r="LC21" s="118">
        <v>60.7</v>
      </c>
      <c r="LD21" s="118">
        <v>73.099999999999994</v>
      </c>
      <c r="LE21" s="118">
        <v>0</v>
      </c>
      <c r="LF21" s="118">
        <v>94.53</v>
      </c>
      <c r="LG21" s="118">
        <v>7</v>
      </c>
      <c r="LH21" s="118">
        <v>44</v>
      </c>
      <c r="LI21" s="118"/>
      <c r="LJ21" s="118"/>
      <c r="LK21" s="118">
        <v>21.4</v>
      </c>
      <c r="LL21" s="118">
        <v>0</v>
      </c>
      <c r="LM21" s="118">
        <v>33</v>
      </c>
      <c r="LN21" s="118">
        <v>76.2</v>
      </c>
      <c r="LO21" s="118">
        <v>76.7</v>
      </c>
      <c r="LP21" s="118">
        <v>11.6</v>
      </c>
      <c r="LQ21" s="118">
        <v>33.799999999999997</v>
      </c>
      <c r="LR21" s="118">
        <v>30.4</v>
      </c>
      <c r="LS21" s="118">
        <v>0</v>
      </c>
      <c r="LT21" s="118">
        <v>43.4</v>
      </c>
      <c r="LU21" s="118">
        <v>67.63</v>
      </c>
      <c r="LV21" s="118">
        <v>13.1</v>
      </c>
      <c r="LW21" s="118">
        <v>46.5</v>
      </c>
      <c r="LX21" s="118">
        <v>34.799999999999997</v>
      </c>
      <c r="LY21" s="118">
        <v>66.430000000000007</v>
      </c>
      <c r="LZ21" s="118">
        <v>0</v>
      </c>
      <c r="MA21" s="118">
        <v>112.3</v>
      </c>
      <c r="MB21" s="118">
        <v>39.5</v>
      </c>
      <c r="MC21" s="118">
        <v>31</v>
      </c>
      <c r="MD21" s="118">
        <v>25.2</v>
      </c>
      <c r="ME21" s="118">
        <v>0</v>
      </c>
      <c r="MF21" s="118">
        <v>40.630000000000003</v>
      </c>
      <c r="MG21" s="118"/>
      <c r="MH21" s="118">
        <v>47</v>
      </c>
      <c r="MI21" s="118">
        <v>7</v>
      </c>
      <c r="MJ21" s="118">
        <v>42</v>
      </c>
      <c r="MK21" s="118">
        <v>35</v>
      </c>
      <c r="ML21" s="118">
        <v>30</v>
      </c>
      <c r="MM21" s="118">
        <v>37</v>
      </c>
      <c r="MN21" s="118"/>
      <c r="MO21" s="263">
        <v>81.63</v>
      </c>
      <c r="MP21" s="263">
        <v>70.3</v>
      </c>
      <c r="MQ21" s="263">
        <v>36.299999999999997</v>
      </c>
      <c r="MR21" s="263">
        <v>58.4</v>
      </c>
      <c r="MS21" s="263">
        <v>33.6</v>
      </c>
      <c r="MT21" s="263">
        <v>19.2</v>
      </c>
      <c r="MU21" s="118">
        <v>0</v>
      </c>
      <c r="MV21" s="118">
        <v>39.43</v>
      </c>
      <c r="MW21" s="118">
        <v>18.7</v>
      </c>
      <c r="MX21" s="118">
        <v>23.83</v>
      </c>
      <c r="MY21" s="118">
        <v>18.399999999999999</v>
      </c>
      <c r="MZ21" s="118">
        <v>65.400000000000006</v>
      </c>
      <c r="NA21" s="118">
        <v>41</v>
      </c>
      <c r="NB21" s="118">
        <v>0</v>
      </c>
      <c r="NC21" s="118">
        <v>55.8</v>
      </c>
      <c r="ND21" s="118">
        <v>35.1</v>
      </c>
      <c r="NE21" s="118">
        <v>82</v>
      </c>
      <c r="NF21" s="118">
        <v>69.930000000000007</v>
      </c>
      <c r="NG21" s="118">
        <v>73.3</v>
      </c>
      <c r="NH21" s="118">
        <v>30.9</v>
      </c>
      <c r="NI21" s="118">
        <v>0</v>
      </c>
      <c r="NJ21" s="118">
        <v>123.13</v>
      </c>
      <c r="NK21" s="118">
        <v>36.9</v>
      </c>
      <c r="NL21" s="118">
        <v>26.2</v>
      </c>
      <c r="NM21" s="118">
        <v>30.9</v>
      </c>
      <c r="NN21" s="118">
        <v>19.5</v>
      </c>
      <c r="NO21" s="118">
        <v>69.599999999999994</v>
      </c>
      <c r="NP21" s="118"/>
      <c r="NQ21" s="118">
        <v>19</v>
      </c>
      <c r="NR21" s="118">
        <v>69</v>
      </c>
      <c r="NS21" s="118"/>
      <c r="OP21">
        <v>0</v>
      </c>
      <c r="OQ21">
        <v>49.8</v>
      </c>
      <c r="OR21">
        <v>45.03</v>
      </c>
      <c r="OS21">
        <v>0</v>
      </c>
      <c r="OT21">
        <v>41.8</v>
      </c>
      <c r="OU21">
        <v>77.63</v>
      </c>
      <c r="OV21">
        <v>112.56</v>
      </c>
      <c r="OW21">
        <v>51.13</v>
      </c>
      <c r="OX21">
        <v>4.5999999999999996</v>
      </c>
      <c r="OY21">
        <v>111.7</v>
      </c>
      <c r="OZ21">
        <v>0</v>
      </c>
      <c r="PA21">
        <v>53.03</v>
      </c>
      <c r="PB21">
        <v>106.03</v>
      </c>
      <c r="PC21">
        <v>49.23</v>
      </c>
      <c r="PD21">
        <v>40.700000000000003</v>
      </c>
      <c r="PE21">
        <v>44.73</v>
      </c>
      <c r="PF21">
        <v>42.1</v>
      </c>
      <c r="PH21">
        <v>55</v>
      </c>
    </row>
    <row r="22" spans="2:436" ht="15" customHeight="1">
      <c r="B22" s="474" t="s">
        <v>37</v>
      </c>
      <c r="C22" s="474"/>
      <c r="D22" s="385">
        <f>IFERROR(D4/D13,0)</f>
        <v>0.19553794469807909</v>
      </c>
      <c r="E22" s="385">
        <f t="shared" ref="E22:I22" si="163">IFERROR(E4/E13,0)</f>
        <v>0.53187647058823528</v>
      </c>
      <c r="F22" s="385">
        <f>IFERROR(F4/F13,0)</f>
        <v>0.12434990781761647</v>
      </c>
      <c r="G22" s="385">
        <f>IFERROR((H4+G4)/G13,0)</f>
        <v>0.48605958665403454</v>
      </c>
      <c r="H22" s="385"/>
      <c r="I22" s="385">
        <f t="shared" si="163"/>
        <v>0</v>
      </c>
      <c r="J22" s="392">
        <f>IFERROR(J4/J13,0)</f>
        <v>0.21008060778908452</v>
      </c>
      <c r="P22" s="189">
        <f t="shared" si="53"/>
        <v>2270</v>
      </c>
      <c r="Q22" s="5" t="s">
        <v>5</v>
      </c>
      <c r="R22" s="148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39"/>
      <c r="BK22" s="239"/>
      <c r="BL22" s="239"/>
      <c r="BM22" s="239"/>
      <c r="BN22" s="239"/>
      <c r="BO22" s="239"/>
      <c r="BP22" s="239"/>
      <c r="BQ22" s="239"/>
      <c r="BR22" s="239"/>
      <c r="BS22" s="239"/>
      <c r="BT22" s="239"/>
      <c r="BU22" s="239"/>
      <c r="BV22" s="239"/>
      <c r="BW22" s="239"/>
      <c r="BX22" s="239"/>
      <c r="BY22" s="239"/>
      <c r="BZ22" s="65">
        <f>SUM(BZ23:BZ25)</f>
        <v>1801</v>
      </c>
      <c r="CA22" s="66">
        <f t="shared" ref="CA22" si="164">SUM(CA23:CA25)</f>
        <v>0</v>
      </c>
      <c r="CB22" s="66">
        <f t="shared" ref="CB22" si="165">SUM(CB23:CB25)</f>
        <v>318</v>
      </c>
      <c r="CC22" s="66">
        <f t="shared" ref="CC22" si="166">SUM(CC23:CC25)</f>
        <v>295.22300000000001</v>
      </c>
      <c r="CD22" s="66">
        <f t="shared" ref="CD22" si="167">SUM(CD23:CD25)</f>
        <v>347.967465</v>
      </c>
      <c r="CE22" s="66">
        <f t="shared" ref="CE22" si="168">SUM(CE23:CE25)</f>
        <v>279.49028399999997</v>
      </c>
      <c r="CF22" s="66">
        <f t="shared" ref="CF22" si="169">SUM(CF23:CF25)</f>
        <v>420.26665100000002</v>
      </c>
      <c r="CG22" s="66">
        <f t="shared" ref="CG22" si="170">SUM(CG23:CG25)</f>
        <v>218.563097</v>
      </c>
      <c r="CH22" s="66">
        <f t="shared" ref="CH22" si="171">SUM(CH23:CH25)</f>
        <v>209.90583000000001</v>
      </c>
      <c r="CI22" s="66">
        <f t="shared" ref="CI22" si="172">SUM(CI23:CI25)</f>
        <v>116.34614500000001</v>
      </c>
      <c r="CJ22" s="66">
        <f t="shared" ref="CJ22" si="173">SUM(CJ23:CJ25)</f>
        <v>301.15464499999996</v>
      </c>
      <c r="CK22" s="66">
        <f t="shared" ref="CK22" si="174">SUM(CK23:CK25)</f>
        <v>178.665425</v>
      </c>
      <c r="CL22" s="66">
        <f t="shared" ref="CL22" si="175">SUM(CL23:CL25)</f>
        <v>278.37015100000002</v>
      </c>
      <c r="CM22" s="66">
        <f t="shared" ref="CM22" si="176">SUM(CM23:CM25)</f>
        <v>327.48976900000002</v>
      </c>
      <c r="CN22" s="66">
        <f t="shared" ref="CN22" si="177">SUM(CN23:CN25)</f>
        <v>364.63123100000001</v>
      </c>
      <c r="CO22" s="66">
        <f t="shared" ref="CO22" si="178">SUM(CO23:CO25)</f>
        <v>173.53324499999999</v>
      </c>
      <c r="CP22" s="66">
        <f t="shared" ref="CP22" si="179">SUM(CP23:CP25)</f>
        <v>174.49468400000001</v>
      </c>
      <c r="CQ22" s="66">
        <f t="shared" ref="CQ22" si="180">SUM(CQ23:CQ25)</f>
        <v>258.01263900000004</v>
      </c>
      <c r="CR22" s="66">
        <f t="shared" ref="CR22" si="181">SUM(CR23:CR25)</f>
        <v>334.95185600000002</v>
      </c>
      <c r="CS22" s="66">
        <f t="shared" ref="CS22" si="182">SUM(CS23:CS25)</f>
        <v>213.740397</v>
      </c>
      <c r="CT22" s="66">
        <f t="shared" ref="CT22" si="183">SUM(CT23:CT25)</f>
        <v>160.96659500000001</v>
      </c>
      <c r="CU22" s="66">
        <f t="shared" ref="CU22" si="184">SUM(CU23:CU25)</f>
        <v>198.541145</v>
      </c>
      <c r="CV22" s="66">
        <f t="shared" ref="CV22" si="185">SUM(CV23:CV25)</f>
        <v>194.622004</v>
      </c>
      <c r="CW22" s="66">
        <f t="shared" ref="CW22" si="186">SUM(CW23:CW25)</f>
        <v>404.43396799999999</v>
      </c>
      <c r="CX22" s="66">
        <f t="shared" ref="CX22" si="187">SUM(CX23:CX25)</f>
        <v>164.719899</v>
      </c>
      <c r="CY22" s="66">
        <f t="shared" ref="CY22" si="188">SUM(CY23:CY25)</f>
        <v>243.44407799999999</v>
      </c>
      <c r="CZ22" s="66">
        <f t="shared" ref="CZ22" si="189">SUM(CZ23:CZ25)</f>
        <v>172</v>
      </c>
      <c r="DA22" s="66">
        <f t="shared" ref="DA22" si="190">SUM(DA23:DA25)</f>
        <v>216</v>
      </c>
      <c r="DB22" s="66">
        <f t="shared" ref="DB22" si="191">SUM(DB23:DB25)</f>
        <v>346</v>
      </c>
      <c r="DC22" s="66">
        <f t="shared" ref="DC22" si="192">SUM(DC23:DC25)</f>
        <v>172</v>
      </c>
      <c r="DD22" s="67">
        <f t="shared" ref="DD22:DF22" si="193">SUM(DD23:DD25)</f>
        <v>328</v>
      </c>
      <c r="DE22" s="89">
        <f t="shared" si="193"/>
        <v>202</v>
      </c>
      <c r="DF22" s="89">
        <f t="shared" si="193"/>
        <v>200</v>
      </c>
      <c r="DG22" s="67">
        <f>SUM(DG24:DG25)</f>
        <v>135</v>
      </c>
      <c r="DH22" s="67">
        <f t="shared" ref="DH22:EG22" si="194">SUM(DH23:DH25)</f>
        <v>123</v>
      </c>
      <c r="DI22" s="67">
        <f t="shared" si="194"/>
        <v>130</v>
      </c>
      <c r="DJ22" s="67">
        <f t="shared" si="194"/>
        <v>166</v>
      </c>
      <c r="DK22" s="67">
        <f t="shared" si="194"/>
        <v>270</v>
      </c>
      <c r="DL22" s="67">
        <f t="shared" si="194"/>
        <v>231</v>
      </c>
      <c r="DM22" s="67">
        <f t="shared" si="194"/>
        <v>292</v>
      </c>
      <c r="DN22" s="67">
        <f t="shared" si="194"/>
        <v>259</v>
      </c>
      <c r="DO22" s="67">
        <f t="shared" si="194"/>
        <v>209</v>
      </c>
      <c r="DP22" s="67">
        <f t="shared" si="194"/>
        <v>777</v>
      </c>
      <c r="DQ22" s="67">
        <f t="shared" si="194"/>
        <v>212</v>
      </c>
      <c r="DR22" s="67">
        <f t="shared" si="194"/>
        <v>186</v>
      </c>
      <c r="DS22" s="67">
        <f t="shared" si="194"/>
        <v>18</v>
      </c>
      <c r="DT22" s="67">
        <f t="shared" si="194"/>
        <v>10</v>
      </c>
      <c r="DU22" s="67">
        <f t="shared" si="194"/>
        <v>49</v>
      </c>
      <c r="DV22" s="67">
        <f t="shared" si="194"/>
        <v>380</v>
      </c>
      <c r="DW22" s="67">
        <f t="shared" si="194"/>
        <v>282</v>
      </c>
      <c r="DX22" s="67">
        <f t="shared" si="194"/>
        <v>170</v>
      </c>
      <c r="DY22" s="67">
        <f t="shared" si="194"/>
        <v>119</v>
      </c>
      <c r="DZ22" s="67">
        <f t="shared" si="194"/>
        <v>212</v>
      </c>
      <c r="EA22" s="67">
        <f t="shared" si="194"/>
        <v>135</v>
      </c>
      <c r="EB22" s="67">
        <f t="shared" si="194"/>
        <v>178</v>
      </c>
      <c r="EC22" s="67">
        <f t="shared" si="194"/>
        <v>147</v>
      </c>
      <c r="ED22" s="67">
        <f t="shared" si="194"/>
        <v>76</v>
      </c>
      <c r="EE22" s="67">
        <f t="shared" si="194"/>
        <v>31</v>
      </c>
      <c r="EF22" s="67">
        <f t="shared" si="194"/>
        <v>78</v>
      </c>
      <c r="EG22" s="67">
        <f t="shared" si="194"/>
        <v>78</v>
      </c>
      <c r="EH22" s="94">
        <f t="shared" ref="EH22:FE22" si="195">SUM(EH23:EH25)</f>
        <v>0</v>
      </c>
      <c r="EI22" s="156">
        <f t="shared" si="195"/>
        <v>142</v>
      </c>
      <c r="EJ22" s="94">
        <f t="shared" si="195"/>
        <v>208</v>
      </c>
      <c r="EK22" s="94">
        <f t="shared" si="195"/>
        <v>139</v>
      </c>
      <c r="EL22" s="94">
        <f t="shared" si="195"/>
        <v>242</v>
      </c>
      <c r="EM22" s="94">
        <f t="shared" si="195"/>
        <v>188</v>
      </c>
      <c r="EN22" s="94">
        <f t="shared" si="195"/>
        <v>322</v>
      </c>
      <c r="EO22" s="94">
        <f t="shared" si="195"/>
        <v>188</v>
      </c>
      <c r="EP22" s="94">
        <f t="shared" si="195"/>
        <v>118</v>
      </c>
      <c r="EQ22" s="94">
        <f t="shared" si="195"/>
        <v>758</v>
      </c>
      <c r="ER22" s="94">
        <f t="shared" si="195"/>
        <v>339</v>
      </c>
      <c r="ES22" s="94">
        <f t="shared" si="195"/>
        <v>138</v>
      </c>
      <c r="ET22" s="94">
        <f t="shared" si="195"/>
        <v>337</v>
      </c>
      <c r="EU22" s="94">
        <f t="shared" si="195"/>
        <v>480</v>
      </c>
      <c r="EV22" s="94">
        <f t="shared" si="195"/>
        <v>382</v>
      </c>
      <c r="EW22" s="94">
        <f t="shared" si="195"/>
        <v>322</v>
      </c>
      <c r="EX22" s="94">
        <f t="shared" si="195"/>
        <v>465</v>
      </c>
      <c r="EY22" s="94">
        <f t="shared" si="195"/>
        <v>215</v>
      </c>
      <c r="EZ22" s="94">
        <f t="shared" si="195"/>
        <v>159</v>
      </c>
      <c r="FA22" s="94">
        <f t="shared" si="195"/>
        <v>328</v>
      </c>
      <c r="FB22" s="94">
        <f t="shared" si="195"/>
        <v>172</v>
      </c>
      <c r="FC22" s="94">
        <f t="shared" si="195"/>
        <v>419</v>
      </c>
      <c r="FD22" s="94">
        <f t="shared" si="195"/>
        <v>165</v>
      </c>
      <c r="FE22" s="94">
        <f t="shared" si="195"/>
        <v>283</v>
      </c>
      <c r="FF22" s="94">
        <f t="shared" ref="FF22:FH22" si="196">SUM(FF23:FF25)</f>
        <v>319</v>
      </c>
      <c r="FG22" s="94">
        <f t="shared" si="196"/>
        <v>210</v>
      </c>
      <c r="FH22" s="94">
        <f t="shared" si="196"/>
        <v>456</v>
      </c>
      <c r="FI22" s="94">
        <f t="shared" ref="FI22:FL22" si="197">SUM(FI23:FI25)</f>
        <v>199</v>
      </c>
      <c r="FJ22" s="94">
        <f t="shared" si="197"/>
        <v>242</v>
      </c>
      <c r="FK22" s="94">
        <f t="shared" si="197"/>
        <v>249</v>
      </c>
      <c r="FL22" s="94">
        <f t="shared" si="197"/>
        <v>251</v>
      </c>
      <c r="FM22" s="94">
        <f t="shared" ref="FM22" si="198">SUM(FM23:FM25)</f>
        <v>0</v>
      </c>
      <c r="FN22" s="94">
        <f>SUM(FN23:FN25)</f>
        <v>108</v>
      </c>
      <c r="FO22" s="94">
        <f>SUM(FO23:FO25)</f>
        <v>651</v>
      </c>
      <c r="FP22" s="94">
        <f>SUM(FP23:FP25)</f>
        <v>199</v>
      </c>
      <c r="FQ22" s="94">
        <f t="shared" ref="FQ22" si="199">SUM(FQ23:FQ25)</f>
        <v>264</v>
      </c>
      <c r="FR22" s="94">
        <f t="shared" ref="FR22" si="200">SUM(FR23:FR25)</f>
        <v>290</v>
      </c>
      <c r="FS22" s="94">
        <f t="shared" ref="FS22" si="201">SUM(FS23:FS25)</f>
        <v>118</v>
      </c>
      <c r="FT22" s="94">
        <f t="shared" ref="FT22" si="202">SUM(FT23:FT25)</f>
        <v>328</v>
      </c>
      <c r="FU22" s="94">
        <f t="shared" ref="FU22" si="203">SUM(FU23:FU25)</f>
        <v>61</v>
      </c>
      <c r="FV22" s="94">
        <f t="shared" ref="FV22" si="204">SUM(FV23:FV25)</f>
        <v>391</v>
      </c>
      <c r="FW22" s="94">
        <f t="shared" ref="FW22" si="205">SUM(FW23:FW25)</f>
        <v>399</v>
      </c>
      <c r="FX22" s="94">
        <f t="shared" ref="FX22" si="206">SUM(FX23:FX25)</f>
        <v>314</v>
      </c>
      <c r="FY22" s="94">
        <f t="shared" ref="FY22" si="207">SUM(FY23:FY25)</f>
        <v>218</v>
      </c>
      <c r="FZ22" s="94">
        <f t="shared" ref="FZ22" si="208">SUM(FZ23:FZ25)</f>
        <v>543</v>
      </c>
      <c r="GA22" s="94">
        <f t="shared" ref="GA22" si="209">SUM(GA23:GA25)</f>
        <v>66</v>
      </c>
      <c r="GB22" s="94">
        <f t="shared" ref="GB22" si="210">SUM(GB23:GB25)</f>
        <v>63</v>
      </c>
      <c r="GC22" s="94">
        <f t="shared" ref="GC22" si="211">SUM(GC23:GC25)</f>
        <v>275</v>
      </c>
      <c r="GD22" s="94">
        <f t="shared" ref="GD22" si="212">SUM(GD23:GD25)</f>
        <v>182</v>
      </c>
      <c r="GE22" s="94">
        <f t="shared" ref="GE22" si="213">SUM(GE23:GE25)</f>
        <v>181</v>
      </c>
      <c r="GF22" s="94">
        <f t="shared" ref="GF22" si="214">SUM(GF23:GF25)</f>
        <v>213</v>
      </c>
      <c r="GG22" s="94">
        <f t="shared" ref="GG22" si="215">SUM(GG23:GG25)</f>
        <v>404</v>
      </c>
      <c r="GH22" s="94">
        <f t="shared" ref="GH22" si="216">SUM(GH23:GH25)</f>
        <v>128</v>
      </c>
      <c r="GI22" s="94">
        <f t="shared" ref="GI22" si="217">SUM(GI23:GI25)</f>
        <v>363</v>
      </c>
      <c r="GJ22" s="94">
        <f t="shared" ref="GJ22" si="218">SUM(GJ23:GJ25)</f>
        <v>306</v>
      </c>
      <c r="GK22" s="94">
        <f t="shared" ref="GK22" si="219">SUM(GK23:GK25)</f>
        <v>289</v>
      </c>
      <c r="GL22" s="94">
        <f t="shared" ref="GL22" si="220">SUM(GL23:GL25)</f>
        <v>114</v>
      </c>
      <c r="GM22" s="94">
        <f t="shared" ref="GM22" si="221">SUM(GM23:GM25)</f>
        <v>258</v>
      </c>
      <c r="GN22" s="94">
        <f t="shared" ref="GN22" si="222">SUM(GN23:GN25)</f>
        <v>100</v>
      </c>
      <c r="GO22" s="94">
        <f t="shared" ref="GO22" si="223">SUM(GO23:GO25)</f>
        <v>202</v>
      </c>
      <c r="GP22" s="94">
        <f t="shared" ref="GP22:HW22" si="224">SUM(GP23:GP25)</f>
        <v>33</v>
      </c>
      <c r="GQ22" s="94">
        <f t="shared" ref="GQ22:HU22" si="225">SUM(GQ23:GQ25)</f>
        <v>145</v>
      </c>
      <c r="GR22" s="94">
        <f t="shared" si="224"/>
        <v>513</v>
      </c>
      <c r="GS22" s="94">
        <f t="shared" si="225"/>
        <v>169</v>
      </c>
      <c r="GT22" s="94">
        <f t="shared" si="224"/>
        <v>182</v>
      </c>
      <c r="GU22" s="94">
        <f t="shared" si="225"/>
        <v>209</v>
      </c>
      <c r="GV22" s="94">
        <f t="shared" si="224"/>
        <v>135</v>
      </c>
      <c r="GW22" s="94">
        <f t="shared" si="225"/>
        <v>11</v>
      </c>
      <c r="GX22" s="94">
        <f t="shared" si="224"/>
        <v>506</v>
      </c>
      <c r="GY22" s="94">
        <f t="shared" si="225"/>
        <v>234</v>
      </c>
      <c r="GZ22" s="94">
        <f t="shared" si="224"/>
        <v>306</v>
      </c>
      <c r="HA22" s="94">
        <f t="shared" si="225"/>
        <v>305</v>
      </c>
      <c r="HB22" s="94">
        <f t="shared" si="224"/>
        <v>300</v>
      </c>
      <c r="HC22" s="94">
        <f t="shared" si="225"/>
        <v>425</v>
      </c>
      <c r="HD22" s="94">
        <f t="shared" si="224"/>
        <v>352</v>
      </c>
      <c r="HE22" s="94">
        <f t="shared" si="225"/>
        <v>411</v>
      </c>
      <c r="HF22" s="94">
        <f t="shared" si="224"/>
        <v>417</v>
      </c>
      <c r="HG22" s="94">
        <f t="shared" si="225"/>
        <v>362</v>
      </c>
      <c r="HH22" s="94">
        <f t="shared" si="224"/>
        <v>490</v>
      </c>
      <c r="HI22" s="94">
        <f t="shared" si="225"/>
        <v>205</v>
      </c>
      <c r="HJ22" s="94">
        <f t="shared" si="224"/>
        <v>405</v>
      </c>
      <c r="HK22" s="94">
        <f t="shared" si="225"/>
        <v>132</v>
      </c>
      <c r="HL22" s="94">
        <f t="shared" si="224"/>
        <v>340</v>
      </c>
      <c r="HM22" s="94">
        <f t="shared" si="225"/>
        <v>216</v>
      </c>
      <c r="HN22" s="94">
        <f t="shared" si="224"/>
        <v>215</v>
      </c>
      <c r="HO22" s="94">
        <f t="shared" si="225"/>
        <v>170</v>
      </c>
      <c r="HP22" s="94">
        <f t="shared" si="224"/>
        <v>312</v>
      </c>
      <c r="HQ22" s="94">
        <f t="shared" si="225"/>
        <v>218</v>
      </c>
      <c r="HR22" s="94">
        <f t="shared" si="224"/>
        <v>230</v>
      </c>
      <c r="HS22" s="94">
        <f t="shared" si="225"/>
        <v>298</v>
      </c>
      <c r="HT22" s="94">
        <f t="shared" si="224"/>
        <v>219</v>
      </c>
      <c r="HU22" s="94">
        <f t="shared" si="225"/>
        <v>167</v>
      </c>
      <c r="HV22" s="94">
        <f t="shared" si="224"/>
        <v>165</v>
      </c>
      <c r="HW22" s="94">
        <f t="shared" si="224"/>
        <v>300</v>
      </c>
      <c r="HX22" s="94">
        <f t="shared" ref="HX22:IY22" si="226">SUM(HX23:HX25)</f>
        <v>400</v>
      </c>
      <c r="HY22" s="94">
        <f t="shared" si="226"/>
        <v>205</v>
      </c>
      <c r="HZ22" s="94">
        <f t="shared" si="226"/>
        <v>335</v>
      </c>
      <c r="IA22" s="94">
        <f t="shared" si="226"/>
        <v>261</v>
      </c>
      <c r="IB22" s="94">
        <f t="shared" si="226"/>
        <v>364</v>
      </c>
      <c r="IC22" s="94">
        <f t="shared" si="226"/>
        <v>182</v>
      </c>
      <c r="ID22" s="94">
        <f t="shared" si="226"/>
        <v>767</v>
      </c>
      <c r="IE22" s="94">
        <f t="shared" si="226"/>
        <v>210</v>
      </c>
      <c r="IF22" s="94">
        <f t="shared" si="226"/>
        <v>196</v>
      </c>
      <c r="IG22" s="94">
        <f t="shared" si="226"/>
        <v>371</v>
      </c>
      <c r="IH22" s="94">
        <f t="shared" si="226"/>
        <v>277</v>
      </c>
      <c r="II22" s="94">
        <f t="shared" si="226"/>
        <v>372</v>
      </c>
      <c r="IJ22" s="94">
        <f t="shared" si="226"/>
        <v>260</v>
      </c>
      <c r="IK22" s="94">
        <f t="shared" si="226"/>
        <v>313</v>
      </c>
      <c r="IL22" s="94">
        <f t="shared" si="226"/>
        <v>162</v>
      </c>
      <c r="IM22" s="94">
        <f t="shared" si="226"/>
        <v>143</v>
      </c>
      <c r="IN22" s="94">
        <f t="shared" si="226"/>
        <v>256</v>
      </c>
      <c r="IO22" s="94">
        <f t="shared" si="226"/>
        <v>204</v>
      </c>
      <c r="IP22" s="94">
        <f t="shared" si="226"/>
        <v>277</v>
      </c>
      <c r="IQ22" s="94">
        <f t="shared" si="226"/>
        <v>197</v>
      </c>
      <c r="IR22" s="94">
        <f t="shared" si="226"/>
        <v>324</v>
      </c>
      <c r="IS22" s="94">
        <f t="shared" si="226"/>
        <v>222</v>
      </c>
      <c r="IT22" s="94">
        <f t="shared" si="226"/>
        <v>222</v>
      </c>
      <c r="IU22" s="94">
        <f t="shared" si="226"/>
        <v>242</v>
      </c>
      <c r="IV22" s="94">
        <f t="shared" si="226"/>
        <v>331</v>
      </c>
      <c r="IW22" s="94">
        <f t="shared" si="226"/>
        <v>161</v>
      </c>
      <c r="IX22" s="94">
        <f t="shared" si="226"/>
        <v>194</v>
      </c>
      <c r="IY22" s="94">
        <f t="shared" si="226"/>
        <v>303</v>
      </c>
      <c r="IZ22" s="94">
        <f t="shared" ref="IZ22:JA22" si="227">SUM(IZ23:IZ25)</f>
        <v>205</v>
      </c>
      <c r="JA22" s="94">
        <f t="shared" si="227"/>
        <v>41</v>
      </c>
      <c r="JB22" s="94">
        <f t="shared" ref="JB22:LJ22" si="228">SUM(JB23:JB25)</f>
        <v>508</v>
      </c>
      <c r="JC22" s="94">
        <f t="shared" si="228"/>
        <v>125</v>
      </c>
      <c r="JD22" s="94">
        <f t="shared" si="228"/>
        <v>218</v>
      </c>
      <c r="JE22" s="94">
        <f t="shared" si="228"/>
        <v>188</v>
      </c>
      <c r="JF22" s="94">
        <f t="shared" si="228"/>
        <v>441</v>
      </c>
      <c r="JG22" s="94">
        <f t="shared" si="228"/>
        <v>122</v>
      </c>
      <c r="JH22" s="94">
        <f t="shared" si="228"/>
        <v>115</v>
      </c>
      <c r="JI22" s="94">
        <f t="shared" si="228"/>
        <v>269</v>
      </c>
      <c r="JJ22" s="94">
        <f t="shared" si="228"/>
        <v>635</v>
      </c>
      <c r="JK22" s="94">
        <f t="shared" si="228"/>
        <v>218</v>
      </c>
      <c r="JL22" s="94">
        <f t="shared" si="228"/>
        <v>409</v>
      </c>
      <c r="JM22" s="94">
        <f t="shared" si="228"/>
        <v>301</v>
      </c>
      <c r="JN22" s="94">
        <f t="shared" si="228"/>
        <v>397</v>
      </c>
      <c r="JO22" s="94">
        <f t="shared" si="228"/>
        <v>287</v>
      </c>
      <c r="JP22" s="94">
        <f t="shared" si="228"/>
        <v>472</v>
      </c>
      <c r="JQ22" s="94">
        <f t="shared" si="228"/>
        <v>216</v>
      </c>
      <c r="JR22" s="94">
        <f t="shared" si="228"/>
        <v>305</v>
      </c>
      <c r="JS22" s="94">
        <f t="shared" si="228"/>
        <v>128</v>
      </c>
      <c r="JT22" s="94">
        <f t="shared" si="228"/>
        <v>213</v>
      </c>
      <c r="JU22" s="94">
        <f t="shared" si="228"/>
        <v>188</v>
      </c>
      <c r="JV22" s="94">
        <f t="shared" si="228"/>
        <v>271</v>
      </c>
      <c r="JW22" s="94">
        <f t="shared" si="228"/>
        <v>266</v>
      </c>
      <c r="JX22" s="94">
        <f t="shared" si="228"/>
        <v>259</v>
      </c>
      <c r="JY22" s="94">
        <f t="shared" si="228"/>
        <v>241</v>
      </c>
      <c r="JZ22" s="94">
        <f t="shared" si="228"/>
        <v>278</v>
      </c>
      <c r="KA22" s="94">
        <f t="shared" si="228"/>
        <v>178</v>
      </c>
      <c r="KB22" s="94">
        <f t="shared" si="228"/>
        <v>284</v>
      </c>
      <c r="KC22" s="94">
        <f t="shared" si="228"/>
        <v>113</v>
      </c>
      <c r="KD22" s="94">
        <f t="shared" si="228"/>
        <v>317</v>
      </c>
      <c r="KE22" s="94">
        <f t="shared" si="228"/>
        <v>311</v>
      </c>
      <c r="KF22" s="94">
        <f t="shared" si="228"/>
        <v>1439</v>
      </c>
      <c r="KG22" s="94">
        <f t="shared" si="228"/>
        <v>258</v>
      </c>
      <c r="KH22" s="94">
        <f t="shared" si="228"/>
        <v>244</v>
      </c>
      <c r="KI22" s="94">
        <f t="shared" si="228"/>
        <v>330</v>
      </c>
      <c r="KJ22" s="94">
        <f t="shared" si="228"/>
        <v>295</v>
      </c>
      <c r="KK22" s="94">
        <f t="shared" si="228"/>
        <v>330</v>
      </c>
      <c r="KL22" s="94">
        <f t="shared" si="228"/>
        <v>146</v>
      </c>
      <c r="KM22" s="94">
        <f t="shared" si="228"/>
        <v>320</v>
      </c>
      <c r="KN22" s="94">
        <f t="shared" si="228"/>
        <v>351</v>
      </c>
      <c r="KO22" s="94">
        <f t="shared" si="228"/>
        <v>385</v>
      </c>
      <c r="KP22" s="94">
        <f t="shared" si="228"/>
        <v>281</v>
      </c>
      <c r="KQ22" s="94">
        <f t="shared" si="228"/>
        <v>165</v>
      </c>
      <c r="KR22" s="94">
        <f t="shared" si="228"/>
        <v>512</v>
      </c>
      <c r="KS22" s="94">
        <f t="shared" si="228"/>
        <v>376</v>
      </c>
      <c r="KT22" s="94">
        <f t="shared" si="228"/>
        <v>852</v>
      </c>
      <c r="KU22" s="94">
        <f t="shared" si="228"/>
        <v>290</v>
      </c>
      <c r="KV22" s="94">
        <f t="shared" si="228"/>
        <v>368</v>
      </c>
      <c r="KW22" s="94">
        <f t="shared" si="228"/>
        <v>246</v>
      </c>
      <c r="KX22" s="94">
        <f t="shared" si="228"/>
        <v>195</v>
      </c>
      <c r="KY22" s="94">
        <f t="shared" si="228"/>
        <v>328</v>
      </c>
      <c r="KZ22" s="94">
        <f t="shared" si="228"/>
        <v>317</v>
      </c>
      <c r="LA22" s="94">
        <f t="shared" si="228"/>
        <v>205</v>
      </c>
      <c r="LB22" s="94">
        <f t="shared" si="228"/>
        <v>269</v>
      </c>
      <c r="LC22" s="94">
        <f t="shared" si="228"/>
        <v>112</v>
      </c>
      <c r="LD22" s="94">
        <f t="shared" si="228"/>
        <v>358</v>
      </c>
      <c r="LE22" s="94">
        <f t="shared" si="228"/>
        <v>2</v>
      </c>
      <c r="LF22" s="94">
        <f t="shared" si="228"/>
        <v>181</v>
      </c>
      <c r="LG22" s="94">
        <f t="shared" si="228"/>
        <v>255</v>
      </c>
      <c r="LH22" s="94">
        <f t="shared" si="228"/>
        <v>0</v>
      </c>
      <c r="LI22" s="94">
        <f t="shared" si="228"/>
        <v>80</v>
      </c>
      <c r="LJ22" s="94">
        <f t="shared" si="228"/>
        <v>0</v>
      </c>
      <c r="LK22" s="94">
        <f t="shared" ref="LK22:NS22" si="229">SUM(LK23:LK25)</f>
        <v>2131</v>
      </c>
      <c r="LL22" s="94">
        <f t="shared" si="229"/>
        <v>273</v>
      </c>
      <c r="LM22" s="94">
        <f t="shared" si="229"/>
        <v>229</v>
      </c>
      <c r="LN22" s="94">
        <f t="shared" si="229"/>
        <v>309</v>
      </c>
      <c r="LO22" s="94">
        <f t="shared" si="229"/>
        <v>306</v>
      </c>
      <c r="LP22" s="94">
        <f t="shared" si="229"/>
        <v>155</v>
      </c>
      <c r="LQ22" s="94">
        <f t="shared" si="229"/>
        <v>268</v>
      </c>
      <c r="LR22" s="94">
        <f t="shared" si="229"/>
        <v>433</v>
      </c>
      <c r="LS22" s="94">
        <f t="shared" si="229"/>
        <v>205</v>
      </c>
      <c r="LT22" s="94">
        <f t="shared" si="229"/>
        <v>265</v>
      </c>
      <c r="LU22" s="94">
        <f t="shared" si="229"/>
        <v>444</v>
      </c>
      <c r="LV22" s="94">
        <f t="shared" si="229"/>
        <v>342</v>
      </c>
      <c r="LW22" s="94">
        <f t="shared" si="229"/>
        <v>246</v>
      </c>
      <c r="LX22" s="94">
        <f t="shared" si="229"/>
        <v>359</v>
      </c>
      <c r="LY22" s="94">
        <f t="shared" si="229"/>
        <v>844</v>
      </c>
      <c r="LZ22" s="94">
        <f t="shared" si="229"/>
        <v>349</v>
      </c>
      <c r="MA22" s="94">
        <f t="shared" si="229"/>
        <v>303</v>
      </c>
      <c r="MB22" s="94">
        <f t="shared" si="229"/>
        <v>458</v>
      </c>
      <c r="MC22" s="94">
        <f t="shared" si="229"/>
        <v>243</v>
      </c>
      <c r="MD22" s="94">
        <f t="shared" si="229"/>
        <v>223</v>
      </c>
      <c r="ME22" s="94">
        <f t="shared" si="229"/>
        <v>340</v>
      </c>
      <c r="MF22" s="94">
        <f t="shared" si="229"/>
        <v>385</v>
      </c>
      <c r="MG22" s="94">
        <f t="shared" si="229"/>
        <v>296</v>
      </c>
      <c r="MH22" s="94">
        <f t="shared" si="229"/>
        <v>235</v>
      </c>
      <c r="MI22" s="94">
        <f t="shared" si="229"/>
        <v>292</v>
      </c>
      <c r="MJ22" s="94">
        <f t="shared" si="229"/>
        <v>266</v>
      </c>
      <c r="MK22" s="94">
        <f t="shared" si="229"/>
        <v>168</v>
      </c>
      <c r="ML22" s="94">
        <f t="shared" si="229"/>
        <v>341</v>
      </c>
      <c r="MM22" s="94">
        <f t="shared" si="229"/>
        <v>193</v>
      </c>
      <c r="MN22" s="94">
        <f t="shared" si="229"/>
        <v>0</v>
      </c>
      <c r="MO22" s="94">
        <f t="shared" si="229"/>
        <v>932</v>
      </c>
      <c r="MP22" s="94">
        <f t="shared" si="229"/>
        <v>304</v>
      </c>
      <c r="MQ22" s="94">
        <f t="shared" si="229"/>
        <v>281</v>
      </c>
      <c r="MR22" s="94">
        <f t="shared" si="229"/>
        <v>303</v>
      </c>
      <c r="MS22" s="94">
        <f t="shared" si="229"/>
        <v>273</v>
      </c>
      <c r="MT22" s="94">
        <f t="shared" si="229"/>
        <v>251</v>
      </c>
      <c r="MU22" s="94">
        <f t="shared" si="229"/>
        <v>167</v>
      </c>
      <c r="MV22" s="94">
        <f t="shared" si="229"/>
        <v>397</v>
      </c>
      <c r="MW22" s="94">
        <f t="shared" si="229"/>
        <v>289</v>
      </c>
      <c r="MX22" s="94">
        <f t="shared" si="229"/>
        <v>455</v>
      </c>
      <c r="MY22" s="94">
        <f t="shared" si="229"/>
        <v>182</v>
      </c>
      <c r="MZ22" s="94">
        <f t="shared" si="229"/>
        <v>194</v>
      </c>
      <c r="NA22" s="94">
        <f t="shared" si="229"/>
        <v>507</v>
      </c>
      <c r="NB22" s="94">
        <f t="shared" si="229"/>
        <v>278</v>
      </c>
      <c r="NC22" s="94">
        <f t="shared" si="229"/>
        <v>883</v>
      </c>
      <c r="ND22" s="94">
        <f t="shared" si="229"/>
        <v>337</v>
      </c>
      <c r="NE22" s="94">
        <f t="shared" si="229"/>
        <v>224</v>
      </c>
      <c r="NF22" s="94">
        <f t="shared" si="229"/>
        <v>376</v>
      </c>
      <c r="NG22" s="94">
        <f t="shared" si="229"/>
        <v>378</v>
      </c>
      <c r="NH22" s="94">
        <f t="shared" si="229"/>
        <v>457</v>
      </c>
      <c r="NI22" s="94">
        <f t="shared" si="229"/>
        <v>235</v>
      </c>
      <c r="NJ22" s="94">
        <f t="shared" si="229"/>
        <v>448</v>
      </c>
      <c r="NK22" s="94">
        <f t="shared" si="229"/>
        <v>193</v>
      </c>
      <c r="NL22" s="94">
        <f t="shared" si="229"/>
        <v>192</v>
      </c>
      <c r="NM22" s="94">
        <f t="shared" si="229"/>
        <v>327</v>
      </c>
      <c r="NN22" s="94">
        <f t="shared" si="229"/>
        <v>217</v>
      </c>
      <c r="NO22" s="94">
        <f t="shared" si="229"/>
        <v>199</v>
      </c>
      <c r="NP22" s="94">
        <f t="shared" si="229"/>
        <v>95</v>
      </c>
      <c r="NQ22" s="94">
        <f t="shared" si="229"/>
        <v>247</v>
      </c>
      <c r="NR22" s="94">
        <f t="shared" si="229"/>
        <v>296</v>
      </c>
      <c r="NS22" s="94">
        <f t="shared" si="229"/>
        <v>245</v>
      </c>
      <c r="NW22" s="439" t="s">
        <v>49</v>
      </c>
      <c r="NX22" s="315" t="s">
        <v>20</v>
      </c>
      <c r="NY22" s="315" t="s">
        <v>21</v>
      </c>
      <c r="NZ22" s="315" t="s">
        <v>22</v>
      </c>
      <c r="OA22" s="315" t="s">
        <v>23</v>
      </c>
      <c r="OB22" s="315" t="s">
        <v>24</v>
      </c>
      <c r="OC22" s="315" t="s">
        <v>25</v>
      </c>
      <c r="OD22" s="315" t="s">
        <v>26</v>
      </c>
      <c r="OE22" s="315" t="s">
        <v>27</v>
      </c>
      <c r="OF22" s="315" t="s">
        <v>28</v>
      </c>
      <c r="OG22" s="315" t="s">
        <v>29</v>
      </c>
      <c r="OH22" s="315" t="s">
        <v>30</v>
      </c>
      <c r="OI22" s="315" t="s">
        <v>31</v>
      </c>
      <c r="OJ22" s="314" t="s">
        <v>32</v>
      </c>
      <c r="OK22" s="314" t="s">
        <v>33</v>
      </c>
      <c r="OL22" s="314" t="s">
        <v>34</v>
      </c>
      <c r="OM22" s="314" t="s">
        <v>35</v>
      </c>
      <c r="ON22" s="314" t="s">
        <v>36</v>
      </c>
      <c r="OP22" s="94">
        <f t="shared" ref="OP22:OR22" si="230">SUM(OP23:OP25)</f>
        <v>114</v>
      </c>
      <c r="OQ22" s="94">
        <f t="shared" si="230"/>
        <v>643</v>
      </c>
      <c r="OR22" s="94">
        <f t="shared" si="230"/>
        <v>170</v>
      </c>
      <c r="OS22" s="94">
        <f t="shared" ref="OP22:PT22" si="231">SUM(OS23:OS25)</f>
        <v>3</v>
      </c>
      <c r="OT22" s="94">
        <f t="shared" si="231"/>
        <v>125</v>
      </c>
      <c r="OU22" s="94">
        <f t="shared" si="231"/>
        <v>202</v>
      </c>
      <c r="OV22" s="94">
        <f t="shared" si="231"/>
        <v>165</v>
      </c>
      <c r="OW22" s="94">
        <f t="shared" si="231"/>
        <v>267</v>
      </c>
      <c r="OX22" s="94">
        <f t="shared" si="231"/>
        <v>322</v>
      </c>
      <c r="OY22" s="94">
        <f t="shared" si="231"/>
        <v>195</v>
      </c>
      <c r="OZ22" s="94">
        <f t="shared" si="231"/>
        <v>29</v>
      </c>
      <c r="PA22" s="94">
        <f t="shared" si="231"/>
        <v>35</v>
      </c>
      <c r="PB22" s="94">
        <f t="shared" si="231"/>
        <v>0</v>
      </c>
      <c r="PC22" s="94">
        <f t="shared" si="231"/>
        <v>0</v>
      </c>
      <c r="PD22" s="94">
        <f t="shared" si="231"/>
        <v>0</v>
      </c>
      <c r="PE22" s="94">
        <f t="shared" si="231"/>
        <v>0</v>
      </c>
      <c r="PF22" s="94">
        <f t="shared" si="231"/>
        <v>0</v>
      </c>
      <c r="PG22" s="94">
        <f t="shared" si="231"/>
        <v>0</v>
      </c>
      <c r="PH22" s="94">
        <f t="shared" si="231"/>
        <v>0</v>
      </c>
      <c r="PI22" s="94">
        <f t="shared" si="231"/>
        <v>0</v>
      </c>
      <c r="PJ22" s="94">
        <f t="shared" si="231"/>
        <v>0</v>
      </c>
      <c r="PK22" s="94">
        <f t="shared" si="231"/>
        <v>0</v>
      </c>
      <c r="PL22" s="94">
        <f t="shared" si="231"/>
        <v>0</v>
      </c>
      <c r="PM22" s="94">
        <f t="shared" si="231"/>
        <v>0</v>
      </c>
      <c r="PN22" s="94">
        <f t="shared" si="231"/>
        <v>0</v>
      </c>
      <c r="PO22" s="94">
        <f t="shared" si="231"/>
        <v>0</v>
      </c>
      <c r="PP22" s="94">
        <f t="shared" si="231"/>
        <v>0</v>
      </c>
      <c r="PQ22" s="94">
        <f t="shared" si="231"/>
        <v>0</v>
      </c>
      <c r="PR22" s="94">
        <f t="shared" si="231"/>
        <v>0</v>
      </c>
      <c r="PS22" s="94">
        <f t="shared" si="231"/>
        <v>0</v>
      </c>
      <c r="PT22" s="94">
        <f t="shared" si="231"/>
        <v>0</v>
      </c>
    </row>
    <row r="23" spans="2:436">
      <c r="B23" s="452" t="s">
        <v>38</v>
      </c>
      <c r="C23" s="398" t="s">
        <v>39</v>
      </c>
      <c r="D23" s="119">
        <f>IFERROR(D5/D14,0)</f>
        <v>0.24708495280399778</v>
      </c>
      <c r="E23" s="119"/>
      <c r="F23" s="119">
        <f>IFERROR(F5/#REF!,0)</f>
        <v>0</v>
      </c>
      <c r="G23" s="119">
        <f t="shared" ref="G23:I23" si="232">IFERROR(G5/G14,0)</f>
        <v>0</v>
      </c>
      <c r="H23" s="119">
        <f t="shared" si="232"/>
        <v>0</v>
      </c>
      <c r="I23" s="119">
        <f t="shared" si="232"/>
        <v>0</v>
      </c>
      <c r="J23" s="393">
        <f t="shared" ref="J23" si="233">IFERROR(J5/J14,0)</f>
        <v>9.2283877113598478E-2</v>
      </c>
      <c r="O23" s="96"/>
      <c r="P23" s="189">
        <f t="shared" si="53"/>
        <v>445</v>
      </c>
      <c r="Q23" s="144" t="s">
        <v>38</v>
      </c>
      <c r="R23" s="58" t="s">
        <v>39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105">
        <v>1539</v>
      </c>
      <c r="CA23" s="105">
        <v>0</v>
      </c>
      <c r="CB23" s="105">
        <v>0</v>
      </c>
      <c r="CC23" s="105">
        <v>0</v>
      </c>
      <c r="CD23" s="73">
        <v>0</v>
      </c>
      <c r="CE23" s="106">
        <v>0</v>
      </c>
      <c r="CF23" s="106">
        <v>0</v>
      </c>
      <c r="CG23" s="106">
        <v>0</v>
      </c>
      <c r="CH23" s="106">
        <v>0</v>
      </c>
      <c r="CI23" s="106">
        <v>0</v>
      </c>
      <c r="CJ23" s="106">
        <v>0</v>
      </c>
      <c r="CK23" s="106">
        <v>0</v>
      </c>
      <c r="CL23" s="106">
        <v>0</v>
      </c>
      <c r="CM23" s="106">
        <v>0</v>
      </c>
      <c r="CN23" s="106">
        <v>0</v>
      </c>
      <c r="CO23" s="106">
        <v>0</v>
      </c>
      <c r="CP23" s="106">
        <v>0</v>
      </c>
      <c r="CQ23" s="106">
        <v>0</v>
      </c>
      <c r="CR23" s="106">
        <v>0</v>
      </c>
      <c r="CS23" s="106">
        <v>0</v>
      </c>
      <c r="CT23" s="106">
        <v>0</v>
      </c>
      <c r="CU23" s="106">
        <v>0</v>
      </c>
      <c r="CV23" s="106">
        <v>0</v>
      </c>
      <c r="CW23" s="106">
        <v>0</v>
      </c>
      <c r="CX23" s="106">
        <v>0</v>
      </c>
      <c r="CY23" s="106">
        <v>0</v>
      </c>
      <c r="CZ23" s="106">
        <v>0</v>
      </c>
      <c r="DA23" s="106">
        <v>0</v>
      </c>
      <c r="DB23" s="106">
        <v>0</v>
      </c>
      <c r="DC23" s="106">
        <v>0</v>
      </c>
      <c r="DD23" s="106"/>
      <c r="DE23" s="138" t="s">
        <v>50</v>
      </c>
      <c r="DF23" s="138">
        <v>0</v>
      </c>
      <c r="DG23" s="138">
        <v>17</v>
      </c>
      <c r="DH23" s="138">
        <v>0</v>
      </c>
      <c r="DI23" s="139">
        <v>0</v>
      </c>
      <c r="DJ23" s="160">
        <v>0</v>
      </c>
      <c r="DK23" s="160">
        <v>0</v>
      </c>
      <c r="DL23" s="160">
        <v>0</v>
      </c>
      <c r="DM23" s="160">
        <v>0</v>
      </c>
      <c r="DN23" s="160">
        <v>0</v>
      </c>
      <c r="DO23" s="160">
        <v>39</v>
      </c>
      <c r="DP23" s="160">
        <v>568</v>
      </c>
      <c r="DQ23" s="160">
        <v>0</v>
      </c>
      <c r="DR23" s="160">
        <v>0</v>
      </c>
      <c r="DS23" s="160">
        <v>0</v>
      </c>
      <c r="DT23" s="160">
        <v>0</v>
      </c>
      <c r="DU23" s="160">
        <v>0</v>
      </c>
      <c r="DV23" s="161">
        <v>0</v>
      </c>
      <c r="DW23" s="162">
        <v>0</v>
      </c>
      <c r="DX23" s="162">
        <v>0</v>
      </c>
      <c r="DY23" s="162">
        <v>0</v>
      </c>
      <c r="DZ23" s="162">
        <v>0</v>
      </c>
      <c r="EA23" s="162">
        <v>0</v>
      </c>
      <c r="EB23" s="162">
        <v>0</v>
      </c>
      <c r="EC23" s="162">
        <v>0</v>
      </c>
      <c r="ED23" s="162">
        <v>0</v>
      </c>
      <c r="EE23" s="162">
        <v>0</v>
      </c>
      <c r="EF23" s="162">
        <v>0</v>
      </c>
      <c r="EG23" s="162">
        <v>0</v>
      </c>
      <c r="EH23">
        <v>0</v>
      </c>
      <c r="EI23" s="193">
        <v>0</v>
      </c>
      <c r="EJ23" s="193">
        <v>0</v>
      </c>
      <c r="EK23" s="193">
        <v>0</v>
      </c>
      <c r="EL23" s="193">
        <v>0</v>
      </c>
      <c r="EM23" s="193">
        <v>29</v>
      </c>
      <c r="EN23" s="193">
        <v>0</v>
      </c>
      <c r="EO23" s="193">
        <v>0</v>
      </c>
      <c r="EP23" s="107">
        <v>0</v>
      </c>
      <c r="EQ23" s="107">
        <v>97</v>
      </c>
      <c r="ER23" s="107">
        <v>0</v>
      </c>
      <c r="ES23" s="107">
        <v>0</v>
      </c>
      <c r="ET23" s="107">
        <v>18</v>
      </c>
      <c r="EU23" s="107">
        <v>212</v>
      </c>
      <c r="EV23" s="107">
        <v>172</v>
      </c>
      <c r="EW23" s="107">
        <v>0</v>
      </c>
      <c r="EX23" s="107">
        <v>0</v>
      </c>
      <c r="EY23" s="107">
        <v>30</v>
      </c>
      <c r="EZ23" s="107">
        <v>0</v>
      </c>
      <c r="FA23" s="107">
        <v>71</v>
      </c>
      <c r="FB23" s="107">
        <v>0</v>
      </c>
      <c r="FC23" s="107">
        <v>0</v>
      </c>
      <c r="FD23" s="107">
        <v>0</v>
      </c>
      <c r="FE23" s="107">
        <v>0</v>
      </c>
      <c r="FF23" s="107">
        <v>0</v>
      </c>
      <c r="FG23" s="107">
        <v>0</v>
      </c>
      <c r="FH23" s="107">
        <v>99</v>
      </c>
      <c r="FI23" s="107">
        <v>0</v>
      </c>
      <c r="FJ23" s="107">
        <v>0</v>
      </c>
      <c r="FK23" s="107">
        <v>0</v>
      </c>
      <c r="FL23" s="101">
        <v>0</v>
      </c>
      <c r="FM23" s="101">
        <v>0</v>
      </c>
      <c r="FN23" s="107">
        <v>0</v>
      </c>
      <c r="FO23" s="107">
        <v>513</v>
      </c>
      <c r="FP23" s="107">
        <v>0</v>
      </c>
      <c r="FQ23" s="107">
        <v>0</v>
      </c>
      <c r="FR23" s="107">
        <v>0</v>
      </c>
      <c r="FS23" s="107">
        <v>0</v>
      </c>
      <c r="FT23" s="107">
        <v>0</v>
      </c>
      <c r="FU23" s="107">
        <v>0</v>
      </c>
      <c r="FV23">
        <v>0</v>
      </c>
      <c r="FW23">
        <v>46</v>
      </c>
      <c r="FX23">
        <v>0</v>
      </c>
      <c r="FY23">
        <v>0</v>
      </c>
      <c r="FZ23">
        <v>252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280</v>
      </c>
      <c r="GS23">
        <v>0</v>
      </c>
      <c r="GT23">
        <v>51</v>
      </c>
      <c r="GU23">
        <v>0</v>
      </c>
      <c r="GV23">
        <v>21</v>
      </c>
      <c r="GW23">
        <v>0</v>
      </c>
      <c r="GX23">
        <v>0</v>
      </c>
      <c r="GY23">
        <v>0</v>
      </c>
      <c r="GZ23">
        <v>54</v>
      </c>
      <c r="HA23">
        <v>124</v>
      </c>
      <c r="HB23">
        <v>0</v>
      </c>
      <c r="HC23">
        <v>0</v>
      </c>
      <c r="HD23">
        <v>0</v>
      </c>
      <c r="HE23">
        <v>0</v>
      </c>
      <c r="HF23">
        <v>120</v>
      </c>
      <c r="HG23">
        <v>15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460</v>
      </c>
      <c r="IE23">
        <v>0</v>
      </c>
      <c r="IF23">
        <v>48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120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127</v>
      </c>
      <c r="JG23">
        <v>0</v>
      </c>
      <c r="JH23">
        <v>0</v>
      </c>
      <c r="JI23">
        <v>0</v>
      </c>
      <c r="JJ23">
        <v>320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270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120</v>
      </c>
      <c r="KF23">
        <v>1008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170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480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80</v>
      </c>
      <c r="LK23" s="123">
        <v>1465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 s="123">
        <v>0</v>
      </c>
      <c r="LV23">
        <v>0</v>
      </c>
      <c r="LW23">
        <v>0</v>
      </c>
      <c r="LX23" s="123">
        <v>0</v>
      </c>
      <c r="LY23">
        <v>600</v>
      </c>
      <c r="LZ23">
        <v>0</v>
      </c>
      <c r="MA23">
        <v>108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810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665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W23" s="440"/>
      <c r="NX23" s="328">
        <f>SUM(NX24:NX29)</f>
        <v>179.40915971763198</v>
      </c>
      <c r="NY23" s="328">
        <f>SUM(NY24:NY29)</f>
        <v>187.68233792621589</v>
      </c>
      <c r="NZ23" s="328">
        <f>SUM(NZ24:NZ29)</f>
        <v>221.61824523228177</v>
      </c>
      <c r="OA23" s="328">
        <f>SUM(OA24:OA29)</f>
        <v>213.7280734037854</v>
      </c>
      <c r="OB23" s="328">
        <f>SUM(OB24:OB29)</f>
        <v>232.50921041317633</v>
      </c>
      <c r="OC23" s="328">
        <f>SUM(OC24:OC29)</f>
        <v>231.15902093548422</v>
      </c>
      <c r="OD23" s="328">
        <f>SUM(OD24:OD29)</f>
        <v>239.0983358039677</v>
      </c>
      <c r="OE23" s="328">
        <f>SUM(OE24:OE29)</f>
        <v>250.34901290297941</v>
      </c>
      <c r="OF23" s="328">
        <f>SUM(OF24:OF29)</f>
        <v>229.87661816444205</v>
      </c>
      <c r="OG23" s="328">
        <f>SUM(OG24:OG29)</f>
        <v>261.52810246150239</v>
      </c>
      <c r="OH23" s="328">
        <f>SUM(OH24:OH29)</f>
        <v>251.54396707228045</v>
      </c>
      <c r="OI23" s="328">
        <f>SUM(OI24:OI29)</f>
        <v>253.10047077762044</v>
      </c>
      <c r="OJ23" s="329">
        <f>SUM(NX23:OI23)</f>
        <v>2751.6025548113685</v>
      </c>
      <c r="OK23" s="318">
        <f>NX23+NY23+NZ23</f>
        <v>588.70974287612967</v>
      </c>
      <c r="OL23" s="318">
        <f t="shared" ref="OL23:OM23" si="234">NY23+NZ23+OA23</f>
        <v>623.028656562283</v>
      </c>
      <c r="OM23" s="318">
        <f t="shared" si="234"/>
        <v>667.8555290492435</v>
      </c>
      <c r="ON23" s="318">
        <f>OG23+OH23+OI23</f>
        <v>766.17254031140328</v>
      </c>
      <c r="OP23">
        <v>0</v>
      </c>
      <c r="OQ23">
        <v>445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</row>
    <row r="24" spans="2:436">
      <c r="B24" s="453"/>
      <c r="C24" s="399" t="s">
        <v>40</v>
      </c>
      <c r="D24" s="119">
        <f t="shared" ref="D24" si="235">IFERROR(D6/D15,0)</f>
        <v>0.12283737024221453</v>
      </c>
      <c r="E24" s="119"/>
      <c r="F24" s="119">
        <f>IFERROR(F6/#REF!,0)</f>
        <v>0</v>
      </c>
      <c r="G24" s="119">
        <f t="shared" ref="G24:I24" si="236">IFERROR(G6/G15,0)</f>
        <v>0.33270148903476537</v>
      </c>
      <c r="H24" s="119">
        <f t="shared" si="236"/>
        <v>0</v>
      </c>
      <c r="I24" s="119">
        <f t="shared" si="236"/>
        <v>0</v>
      </c>
      <c r="J24" s="394">
        <f t="shared" ref="J24" si="237">IFERROR(J6/J15,0)</f>
        <v>0.20473152229374847</v>
      </c>
      <c r="N24" s="96"/>
      <c r="O24" s="96"/>
      <c r="P24" s="189">
        <f t="shared" si="53"/>
        <v>355</v>
      </c>
      <c r="Q24" s="145"/>
      <c r="R24" s="59" t="s">
        <v>40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105">
        <v>140</v>
      </c>
      <c r="CA24" s="105">
        <v>0</v>
      </c>
      <c r="CB24" s="105">
        <v>49</v>
      </c>
      <c r="CC24" s="105">
        <v>223</v>
      </c>
      <c r="CD24" s="73">
        <v>42</v>
      </c>
      <c r="CE24" s="106">
        <v>35</v>
      </c>
      <c r="CF24" s="106">
        <v>120</v>
      </c>
      <c r="CG24" s="106">
        <v>40</v>
      </c>
      <c r="CH24" s="106">
        <v>80</v>
      </c>
      <c r="CI24" s="106">
        <v>22</v>
      </c>
      <c r="CJ24" s="106">
        <v>120</v>
      </c>
      <c r="CK24" s="106">
        <v>8</v>
      </c>
      <c r="CL24" s="106">
        <v>0</v>
      </c>
      <c r="CM24" s="106">
        <v>120</v>
      </c>
      <c r="CN24" s="106">
        <v>80</v>
      </c>
      <c r="CO24" s="106">
        <v>83</v>
      </c>
      <c r="CP24" s="106">
        <v>4</v>
      </c>
      <c r="CQ24" s="106">
        <v>85</v>
      </c>
      <c r="CR24" s="106">
        <v>125</v>
      </c>
      <c r="CS24" s="106">
        <v>60</v>
      </c>
      <c r="CT24" s="106">
        <v>11</v>
      </c>
      <c r="CU24" s="106">
        <v>16</v>
      </c>
      <c r="CV24" s="106">
        <v>2</v>
      </c>
      <c r="CW24" s="106">
        <v>87</v>
      </c>
      <c r="CX24" s="106">
        <v>1</v>
      </c>
      <c r="CY24" s="106">
        <v>50</v>
      </c>
      <c r="CZ24" s="106">
        <v>1</v>
      </c>
      <c r="DA24" s="106">
        <v>21</v>
      </c>
      <c r="DB24" s="106">
        <v>40</v>
      </c>
      <c r="DC24" s="106">
        <v>80</v>
      </c>
      <c r="DD24" s="106">
        <v>6</v>
      </c>
      <c r="DE24" s="129">
        <v>43</v>
      </c>
      <c r="DF24" s="129">
        <v>32</v>
      </c>
      <c r="DG24" s="129">
        <v>29</v>
      </c>
      <c r="DH24" s="129">
        <v>16</v>
      </c>
      <c r="DI24" s="130">
        <v>28</v>
      </c>
      <c r="DJ24" s="163">
        <v>80</v>
      </c>
      <c r="DK24" s="163">
        <v>60</v>
      </c>
      <c r="DL24" s="163">
        <v>39</v>
      </c>
      <c r="DM24" s="163">
        <v>37</v>
      </c>
      <c r="DN24" s="163">
        <v>16</v>
      </c>
      <c r="DO24" s="163">
        <v>43</v>
      </c>
      <c r="DP24" s="163">
        <v>15</v>
      </c>
      <c r="DQ24" s="163">
        <v>1</v>
      </c>
      <c r="DR24" s="163">
        <v>10</v>
      </c>
      <c r="DS24" s="163">
        <v>18</v>
      </c>
      <c r="DT24" s="163">
        <v>10</v>
      </c>
      <c r="DU24" s="163">
        <v>49</v>
      </c>
      <c r="DV24" s="163">
        <v>221</v>
      </c>
      <c r="DW24" s="164">
        <v>20</v>
      </c>
      <c r="DX24" s="164">
        <v>57</v>
      </c>
      <c r="DY24" s="164">
        <v>36</v>
      </c>
      <c r="DZ24" s="164">
        <v>96</v>
      </c>
      <c r="EA24" s="164">
        <v>37</v>
      </c>
      <c r="EB24" s="164">
        <v>62</v>
      </c>
      <c r="EC24" s="164">
        <v>95</v>
      </c>
      <c r="ED24" s="162">
        <v>13</v>
      </c>
      <c r="EE24" s="162">
        <v>26</v>
      </c>
      <c r="EF24" s="162">
        <v>35</v>
      </c>
      <c r="EG24" s="162">
        <v>30</v>
      </c>
      <c r="EH24">
        <v>0</v>
      </c>
      <c r="EI24" s="193">
        <v>57</v>
      </c>
      <c r="EJ24" s="193">
        <v>39</v>
      </c>
      <c r="EK24" s="193">
        <v>18</v>
      </c>
      <c r="EL24" s="193">
        <v>94</v>
      </c>
      <c r="EM24" s="193">
        <v>5</v>
      </c>
      <c r="EN24" s="193">
        <v>61</v>
      </c>
      <c r="EO24" s="193">
        <v>11</v>
      </c>
      <c r="EP24" s="107">
        <v>29</v>
      </c>
      <c r="EQ24" s="107">
        <v>188</v>
      </c>
      <c r="ER24" s="107">
        <v>38</v>
      </c>
      <c r="ES24" s="107">
        <v>15</v>
      </c>
      <c r="ET24" s="107">
        <v>37</v>
      </c>
      <c r="EU24" s="107">
        <v>73</v>
      </c>
      <c r="EV24" s="107">
        <v>43</v>
      </c>
      <c r="EW24" s="107">
        <v>52</v>
      </c>
      <c r="EX24" s="107">
        <v>100</v>
      </c>
      <c r="EY24" s="107">
        <v>49</v>
      </c>
      <c r="EZ24" s="107">
        <v>24</v>
      </c>
      <c r="FA24" s="107">
        <v>41</v>
      </c>
      <c r="FB24" s="107">
        <v>0</v>
      </c>
      <c r="FC24" s="186">
        <v>94</v>
      </c>
      <c r="FD24" s="186">
        <v>43</v>
      </c>
      <c r="FE24" s="186">
        <v>52</v>
      </c>
      <c r="FF24" s="186">
        <v>45</v>
      </c>
      <c r="FG24" s="107">
        <v>29</v>
      </c>
      <c r="FH24" s="107">
        <v>60</v>
      </c>
      <c r="FI24" s="107">
        <v>30</v>
      </c>
      <c r="FJ24" s="107">
        <v>60</v>
      </c>
      <c r="FK24" s="107">
        <v>25</v>
      </c>
      <c r="FL24" s="101">
        <v>32</v>
      </c>
      <c r="FM24" s="101">
        <v>0</v>
      </c>
      <c r="FN24" s="107">
        <v>6</v>
      </c>
      <c r="FO24" s="107">
        <v>19</v>
      </c>
      <c r="FP24" s="107">
        <v>51</v>
      </c>
      <c r="FQ24" s="107">
        <v>72</v>
      </c>
      <c r="FR24" s="107">
        <v>13</v>
      </c>
      <c r="FS24" s="107">
        <v>30</v>
      </c>
      <c r="FT24" s="107">
        <v>136</v>
      </c>
      <c r="FU24" s="107">
        <v>24</v>
      </c>
      <c r="FV24">
        <v>132</v>
      </c>
      <c r="FW24">
        <v>43</v>
      </c>
      <c r="FX24">
        <v>98</v>
      </c>
      <c r="FY24">
        <v>44</v>
      </c>
      <c r="FZ24">
        <v>71</v>
      </c>
      <c r="GA24">
        <v>7</v>
      </c>
      <c r="GB24">
        <v>4</v>
      </c>
      <c r="GC24">
        <v>81</v>
      </c>
      <c r="GD24">
        <v>65</v>
      </c>
      <c r="GE24">
        <v>2</v>
      </c>
      <c r="GF24">
        <v>32</v>
      </c>
      <c r="GG24">
        <v>125</v>
      </c>
      <c r="GH24">
        <v>31</v>
      </c>
      <c r="GI24">
        <v>167</v>
      </c>
      <c r="GJ24">
        <v>88</v>
      </c>
      <c r="GK24">
        <v>110</v>
      </c>
      <c r="GL24">
        <v>27</v>
      </c>
      <c r="GM24">
        <v>41</v>
      </c>
      <c r="GN24">
        <v>9</v>
      </c>
      <c r="GO24">
        <v>124</v>
      </c>
      <c r="GP24">
        <v>33</v>
      </c>
      <c r="GQ24">
        <v>145</v>
      </c>
      <c r="GR24">
        <v>30</v>
      </c>
      <c r="GS24">
        <v>70</v>
      </c>
      <c r="GT24">
        <v>15</v>
      </c>
      <c r="GU24">
        <v>108</v>
      </c>
      <c r="GV24">
        <v>17</v>
      </c>
      <c r="GW24">
        <v>8</v>
      </c>
      <c r="GX24">
        <v>225</v>
      </c>
      <c r="GY24">
        <v>31</v>
      </c>
      <c r="GZ24">
        <v>142</v>
      </c>
      <c r="HA24">
        <v>75</v>
      </c>
      <c r="HB24">
        <v>37</v>
      </c>
      <c r="HC24">
        <v>65</v>
      </c>
      <c r="HD24">
        <v>151</v>
      </c>
      <c r="HE24">
        <v>127</v>
      </c>
      <c r="HF24">
        <v>62</v>
      </c>
      <c r="HG24">
        <v>70</v>
      </c>
      <c r="HH24">
        <v>110</v>
      </c>
      <c r="HI24">
        <v>45</v>
      </c>
      <c r="HJ24">
        <v>91</v>
      </c>
      <c r="HK24">
        <v>70</v>
      </c>
      <c r="HL24">
        <v>98</v>
      </c>
      <c r="HM24">
        <v>52</v>
      </c>
      <c r="HN24">
        <v>130</v>
      </c>
      <c r="HO24">
        <v>51</v>
      </c>
      <c r="HP24">
        <v>20</v>
      </c>
      <c r="HQ24">
        <v>35</v>
      </c>
      <c r="HR24">
        <v>22</v>
      </c>
      <c r="HS24">
        <v>46</v>
      </c>
      <c r="HT24">
        <v>27</v>
      </c>
      <c r="HU24">
        <v>39</v>
      </c>
      <c r="HV24">
        <v>43</v>
      </c>
      <c r="HW24">
        <v>32</v>
      </c>
      <c r="HX24">
        <v>61</v>
      </c>
      <c r="HY24">
        <v>43</v>
      </c>
      <c r="HZ24">
        <v>65</v>
      </c>
      <c r="IA24">
        <v>69</v>
      </c>
      <c r="IB24">
        <v>55</v>
      </c>
      <c r="IC24">
        <v>83</v>
      </c>
      <c r="ID24">
        <v>60</v>
      </c>
      <c r="IE24">
        <v>76</v>
      </c>
      <c r="IF24">
        <v>55</v>
      </c>
      <c r="IG24">
        <v>92</v>
      </c>
      <c r="IH24">
        <v>62</v>
      </c>
      <c r="II24">
        <v>82</v>
      </c>
      <c r="IJ24">
        <v>71</v>
      </c>
      <c r="IK24">
        <v>75</v>
      </c>
      <c r="IL24">
        <v>58</v>
      </c>
      <c r="IM24">
        <v>64</v>
      </c>
      <c r="IN24">
        <v>52</v>
      </c>
      <c r="IO24">
        <v>43</v>
      </c>
      <c r="IP24">
        <v>48</v>
      </c>
      <c r="IQ24">
        <v>52</v>
      </c>
      <c r="IR24">
        <v>41</v>
      </c>
      <c r="IS24">
        <v>35</v>
      </c>
      <c r="IT24">
        <v>42</v>
      </c>
      <c r="IU24">
        <v>57</v>
      </c>
      <c r="IV24">
        <v>75</v>
      </c>
      <c r="IW24">
        <v>39</v>
      </c>
      <c r="IX24">
        <v>52</v>
      </c>
      <c r="IY24">
        <v>49</v>
      </c>
      <c r="IZ24">
        <v>35</v>
      </c>
      <c r="JA24">
        <v>41</v>
      </c>
      <c r="JB24">
        <v>45</v>
      </c>
      <c r="JC24">
        <v>32</v>
      </c>
      <c r="JD24">
        <v>31</v>
      </c>
      <c r="JE24">
        <v>68</v>
      </c>
      <c r="JF24">
        <v>42</v>
      </c>
      <c r="JG24">
        <v>35</v>
      </c>
      <c r="JH24">
        <v>49</v>
      </c>
      <c r="JI24">
        <v>57</v>
      </c>
      <c r="JJ24">
        <v>32</v>
      </c>
      <c r="JK24">
        <v>55</v>
      </c>
      <c r="JL24">
        <v>69</v>
      </c>
      <c r="JM24">
        <v>49</v>
      </c>
      <c r="JN24">
        <v>41</v>
      </c>
      <c r="JO24">
        <v>47</v>
      </c>
      <c r="JP24">
        <v>52</v>
      </c>
      <c r="JQ24">
        <v>55</v>
      </c>
      <c r="JR24">
        <v>52</v>
      </c>
      <c r="JS24">
        <v>48</v>
      </c>
      <c r="JT24">
        <v>55</v>
      </c>
      <c r="JU24">
        <v>62</v>
      </c>
      <c r="JV24">
        <v>59</v>
      </c>
      <c r="JW24">
        <v>56</v>
      </c>
      <c r="JX24">
        <v>65</v>
      </c>
      <c r="JY24">
        <v>51</v>
      </c>
      <c r="JZ24">
        <v>55</v>
      </c>
      <c r="KA24">
        <v>49</v>
      </c>
      <c r="KB24">
        <v>58</v>
      </c>
      <c r="KC24">
        <v>42</v>
      </c>
      <c r="KD24">
        <v>108</v>
      </c>
      <c r="KE24">
        <v>85</v>
      </c>
      <c r="KF24">
        <v>202</v>
      </c>
      <c r="KG24">
        <v>47</v>
      </c>
      <c r="KH24">
        <v>49</v>
      </c>
      <c r="KI24">
        <v>169</v>
      </c>
      <c r="KJ24">
        <v>25</v>
      </c>
      <c r="KK24">
        <v>42</v>
      </c>
      <c r="KL24">
        <v>28</v>
      </c>
      <c r="KM24">
        <v>7</v>
      </c>
      <c r="KN24">
        <v>102</v>
      </c>
      <c r="KO24">
        <v>74</v>
      </c>
      <c r="KP24">
        <v>50</v>
      </c>
      <c r="KQ24">
        <v>1</v>
      </c>
      <c r="KR24">
        <v>155</v>
      </c>
      <c r="KS24">
        <v>88</v>
      </c>
      <c r="KT24">
        <v>97</v>
      </c>
      <c r="KU24">
        <v>72</v>
      </c>
      <c r="KV24">
        <v>152</v>
      </c>
      <c r="KW24">
        <v>41</v>
      </c>
      <c r="KX24">
        <v>67</v>
      </c>
      <c r="KY24">
        <v>164</v>
      </c>
      <c r="KZ24">
        <v>94</v>
      </c>
      <c r="LA24">
        <v>71</v>
      </c>
      <c r="LB24">
        <v>99</v>
      </c>
      <c r="LC24">
        <v>4</v>
      </c>
      <c r="LD24">
        <v>53</v>
      </c>
      <c r="LK24" s="123">
        <v>230</v>
      </c>
      <c r="LL24" s="123">
        <v>116</v>
      </c>
      <c r="LM24" s="123">
        <v>54</v>
      </c>
      <c r="LN24" s="123">
        <v>78</v>
      </c>
      <c r="LO24" s="123">
        <v>61</v>
      </c>
      <c r="LP24" s="123">
        <v>31</v>
      </c>
      <c r="LQ24" s="123">
        <v>111</v>
      </c>
      <c r="LR24" s="123">
        <v>160</v>
      </c>
      <c r="LS24" s="123">
        <v>129</v>
      </c>
      <c r="LT24" s="123">
        <v>111</v>
      </c>
      <c r="LU24" s="123">
        <v>97</v>
      </c>
      <c r="LV24" s="123">
        <v>117</v>
      </c>
      <c r="LW24" s="123">
        <v>76</v>
      </c>
      <c r="LX24" s="123">
        <v>96</v>
      </c>
      <c r="LY24" s="123">
        <v>152</v>
      </c>
      <c r="LZ24" s="123">
        <v>172</v>
      </c>
      <c r="MA24" s="123">
        <v>67</v>
      </c>
      <c r="MB24" s="123">
        <v>106</v>
      </c>
      <c r="MC24" s="123">
        <v>95</v>
      </c>
      <c r="MD24" s="123">
        <v>73</v>
      </c>
      <c r="ME24" s="123">
        <v>46</v>
      </c>
      <c r="MF24" s="123">
        <v>194</v>
      </c>
      <c r="MG24" s="123">
        <v>120</v>
      </c>
      <c r="MH24" s="123">
        <v>117</v>
      </c>
      <c r="MI24" s="123">
        <v>131</v>
      </c>
      <c r="MJ24" s="123">
        <v>116</v>
      </c>
      <c r="MK24">
        <v>123</v>
      </c>
      <c r="ML24">
        <v>199</v>
      </c>
      <c r="MO24">
        <v>55</v>
      </c>
      <c r="MP24">
        <v>77</v>
      </c>
      <c r="MQ24">
        <v>125</v>
      </c>
      <c r="MR24">
        <v>112</v>
      </c>
      <c r="MS24">
        <v>106</v>
      </c>
      <c r="MT24">
        <v>87</v>
      </c>
      <c r="MU24">
        <v>113</v>
      </c>
      <c r="MV24">
        <v>214</v>
      </c>
      <c r="MW24">
        <v>32</v>
      </c>
      <c r="MX24">
        <v>128</v>
      </c>
      <c r="MY24">
        <v>0</v>
      </c>
      <c r="MZ24">
        <v>78</v>
      </c>
      <c r="NA24">
        <v>52</v>
      </c>
      <c r="NB24">
        <v>49</v>
      </c>
      <c r="NC24">
        <v>51</v>
      </c>
      <c r="ND24">
        <v>63</v>
      </c>
      <c r="NE24">
        <v>40</v>
      </c>
      <c r="NF24">
        <v>185</v>
      </c>
      <c r="NG24">
        <v>193</v>
      </c>
      <c r="NH24">
        <v>255</v>
      </c>
      <c r="NI24">
        <v>180</v>
      </c>
      <c r="NJ24">
        <v>52</v>
      </c>
      <c r="NK24">
        <v>49</v>
      </c>
      <c r="NL24">
        <v>42</v>
      </c>
      <c r="NM24">
        <v>55</v>
      </c>
      <c r="NN24">
        <v>30</v>
      </c>
      <c r="NO24">
        <v>35</v>
      </c>
      <c r="NP24">
        <v>55</v>
      </c>
      <c r="NQ24">
        <v>80</v>
      </c>
      <c r="NR24">
        <v>115</v>
      </c>
      <c r="NS24">
        <v>150</v>
      </c>
      <c r="NW24" s="230" t="s">
        <v>6</v>
      </c>
      <c r="NX24" s="357">
        <v>5.6146808899353235</v>
      </c>
      <c r="NY24" s="33">
        <v>5.0659941194247109</v>
      </c>
      <c r="NZ24" s="33">
        <v>8.1686686694772934</v>
      </c>
      <c r="OA24" s="33">
        <v>6.8938072263979588</v>
      </c>
      <c r="OB24" s="33">
        <v>8.5077264141597748</v>
      </c>
      <c r="OC24" s="33">
        <v>8.9694008038359883</v>
      </c>
      <c r="OD24" s="33">
        <v>8.9975905671792642</v>
      </c>
      <c r="OE24" s="33">
        <v>9.3687187978604012</v>
      </c>
      <c r="OF24" s="33">
        <v>7.452616570046767</v>
      </c>
      <c r="OG24" s="33">
        <v>8.8105371320107562</v>
      </c>
      <c r="OH24" s="33">
        <v>8.6045163253882375</v>
      </c>
      <c r="OI24" s="33">
        <v>8.6240699054479091</v>
      </c>
      <c r="OJ24" s="326">
        <f t="shared" ref="OJ24:OJ29" si="238">SUM(NX24:OI24)</f>
        <v>95.078327421164389</v>
      </c>
      <c r="OK24" s="33">
        <f t="shared" ref="OK24:OK29" si="239">NX24+NY24+NZ24</f>
        <v>18.849343678837329</v>
      </c>
      <c r="OL24" s="33">
        <f t="shared" ref="OL24:OL29" si="240">NY24+NZ24+OA24</f>
        <v>20.12847001529996</v>
      </c>
      <c r="OM24" s="33">
        <f t="shared" ref="OM24:OM29" si="241">NZ24+OA24+OB24</f>
        <v>23.570202310035029</v>
      </c>
      <c r="ON24" s="33">
        <f t="shared" ref="ON24:ON29" si="242">OG24+OH24+OI24</f>
        <v>26.039123362846901</v>
      </c>
      <c r="OP24">
        <v>114</v>
      </c>
      <c r="OQ24">
        <v>106</v>
      </c>
      <c r="OR24">
        <v>22</v>
      </c>
      <c r="OS24">
        <v>0</v>
      </c>
      <c r="OT24">
        <v>11</v>
      </c>
      <c r="OU24">
        <v>0</v>
      </c>
      <c r="OV24">
        <v>0</v>
      </c>
      <c r="OW24">
        <v>0</v>
      </c>
      <c r="OX24">
        <v>38</v>
      </c>
      <c r="OY24">
        <v>0</v>
      </c>
      <c r="OZ24">
        <v>29</v>
      </c>
      <c r="PA24">
        <v>35</v>
      </c>
    </row>
    <row r="25" spans="2:436">
      <c r="B25" s="366" t="s">
        <v>41</v>
      </c>
      <c r="C25" s="399" t="s">
        <v>42</v>
      </c>
      <c r="D25" s="196">
        <f>IFERROR(D7/D17,0)</f>
        <v>0.42807221898660452</v>
      </c>
      <c r="E25" s="119"/>
      <c r="F25" s="196">
        <f>IFERROR(F7/#REF!,0)</f>
        <v>0</v>
      </c>
      <c r="G25" s="196">
        <f t="shared" ref="G25:I25" si="243">IFERROR(G7/G16,0)</f>
        <v>0.67163080347615667</v>
      </c>
      <c r="H25" s="196">
        <f t="shared" si="243"/>
        <v>0</v>
      </c>
      <c r="I25" s="196">
        <f t="shared" si="243"/>
        <v>0</v>
      </c>
      <c r="J25" s="397">
        <f t="shared" ref="J25" si="244">IFERROR(J7/J16,0)</f>
        <v>0.46254611621602065</v>
      </c>
      <c r="P25" s="189">
        <f t="shared" si="53"/>
        <v>1470</v>
      </c>
      <c r="Q25" s="147" t="s">
        <v>41</v>
      </c>
      <c r="R25" s="124" t="s">
        <v>42</v>
      </c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4"/>
      <c r="BQ25" s="184"/>
      <c r="BR25" s="184"/>
      <c r="BS25" s="184"/>
      <c r="BT25" s="184"/>
      <c r="BU25" s="184"/>
      <c r="BV25" s="184"/>
      <c r="BW25" s="184"/>
      <c r="BX25" s="184"/>
      <c r="BY25" s="184"/>
      <c r="BZ25" s="74">
        <v>122</v>
      </c>
      <c r="CA25" s="74">
        <v>0</v>
      </c>
      <c r="CB25" s="74">
        <v>269</v>
      </c>
      <c r="CC25" s="74">
        <v>72.222999999999999</v>
      </c>
      <c r="CD25" s="75">
        <v>305.967465</v>
      </c>
      <c r="CE25" s="106">
        <v>244.490284</v>
      </c>
      <c r="CF25" s="106">
        <v>300.26665100000002</v>
      </c>
      <c r="CG25" s="106">
        <v>178.563097</v>
      </c>
      <c r="CH25" s="106">
        <v>129.90583000000001</v>
      </c>
      <c r="CI25" s="106">
        <v>94.346145000000007</v>
      </c>
      <c r="CJ25" s="106">
        <v>181.15464499999999</v>
      </c>
      <c r="CK25" s="106">
        <v>170.665425</v>
      </c>
      <c r="CL25" s="106">
        <v>278.37015100000002</v>
      </c>
      <c r="CM25" s="106">
        <v>207.489769</v>
      </c>
      <c r="CN25" s="106">
        <v>284.63123100000001</v>
      </c>
      <c r="CO25" s="106">
        <v>90.533244999999994</v>
      </c>
      <c r="CP25" s="106">
        <v>170.49468400000001</v>
      </c>
      <c r="CQ25" s="106">
        <v>173.01263900000001</v>
      </c>
      <c r="CR25" s="106">
        <v>209.95185599999999</v>
      </c>
      <c r="CS25" s="106">
        <v>153.740397</v>
      </c>
      <c r="CT25" s="106">
        <v>149.96659500000001</v>
      </c>
      <c r="CU25" s="106">
        <v>182.541145</v>
      </c>
      <c r="CV25" s="106">
        <v>192.622004</v>
      </c>
      <c r="CW25" s="106">
        <v>317.43396799999999</v>
      </c>
      <c r="CX25" s="106">
        <v>163.719899</v>
      </c>
      <c r="CY25" s="106">
        <v>193.44407799999999</v>
      </c>
      <c r="CZ25" s="106">
        <v>171</v>
      </c>
      <c r="DA25" s="106">
        <v>195</v>
      </c>
      <c r="DB25" s="106">
        <v>306</v>
      </c>
      <c r="DC25" s="106">
        <v>92</v>
      </c>
      <c r="DD25" s="106">
        <v>322</v>
      </c>
      <c r="DE25" s="131">
        <v>159</v>
      </c>
      <c r="DF25" s="131">
        <v>168</v>
      </c>
      <c r="DG25" s="131">
        <v>106</v>
      </c>
      <c r="DH25" s="131">
        <v>107</v>
      </c>
      <c r="DI25" s="132">
        <v>102</v>
      </c>
      <c r="DJ25" s="160">
        <v>86</v>
      </c>
      <c r="DK25" s="160">
        <v>210</v>
      </c>
      <c r="DL25" s="160">
        <v>192</v>
      </c>
      <c r="DM25" s="160">
        <v>255</v>
      </c>
      <c r="DN25" s="160">
        <v>243</v>
      </c>
      <c r="DO25" s="160">
        <v>127</v>
      </c>
      <c r="DP25" s="160">
        <v>194</v>
      </c>
      <c r="DQ25" s="160">
        <v>211</v>
      </c>
      <c r="DR25" s="160">
        <v>176</v>
      </c>
      <c r="DS25" s="160" t="s">
        <v>51</v>
      </c>
      <c r="DT25" s="160" t="s">
        <v>52</v>
      </c>
      <c r="DU25" s="160" t="s">
        <v>53</v>
      </c>
      <c r="DV25" s="161">
        <v>159</v>
      </c>
      <c r="DW25" s="162">
        <v>262</v>
      </c>
      <c r="DX25" s="162">
        <v>113</v>
      </c>
      <c r="DY25" s="162">
        <v>83</v>
      </c>
      <c r="DZ25" s="162">
        <v>116</v>
      </c>
      <c r="EA25" s="162">
        <v>98</v>
      </c>
      <c r="EB25" s="162">
        <v>116</v>
      </c>
      <c r="EC25" s="162">
        <v>52</v>
      </c>
      <c r="ED25" s="162">
        <v>63</v>
      </c>
      <c r="EE25" s="162">
        <v>5</v>
      </c>
      <c r="EF25" s="162">
        <v>43</v>
      </c>
      <c r="EG25" s="162">
        <v>48</v>
      </c>
      <c r="EH25">
        <v>0</v>
      </c>
      <c r="EI25" s="193">
        <v>85</v>
      </c>
      <c r="EJ25" s="193">
        <v>169</v>
      </c>
      <c r="EK25" s="193">
        <v>121</v>
      </c>
      <c r="EL25" s="193">
        <v>148</v>
      </c>
      <c r="EM25" s="193">
        <v>154</v>
      </c>
      <c r="EN25" s="193">
        <v>261</v>
      </c>
      <c r="EO25" s="193">
        <v>177</v>
      </c>
      <c r="EP25" s="107">
        <v>89</v>
      </c>
      <c r="EQ25" s="107">
        <v>473</v>
      </c>
      <c r="ER25" s="107">
        <v>301</v>
      </c>
      <c r="ES25" s="107">
        <v>123</v>
      </c>
      <c r="ET25" s="107">
        <v>282</v>
      </c>
      <c r="EU25" s="107">
        <v>195</v>
      </c>
      <c r="EV25" s="107">
        <v>167</v>
      </c>
      <c r="EW25" s="107">
        <v>270</v>
      </c>
      <c r="EX25" s="107">
        <v>365</v>
      </c>
      <c r="EY25" s="107">
        <v>136</v>
      </c>
      <c r="EZ25" s="107">
        <v>135</v>
      </c>
      <c r="FA25" s="107">
        <v>216</v>
      </c>
      <c r="FB25" s="107">
        <v>172</v>
      </c>
      <c r="FC25" s="107">
        <v>325</v>
      </c>
      <c r="FD25" s="107">
        <v>122</v>
      </c>
      <c r="FE25" s="107">
        <v>231</v>
      </c>
      <c r="FF25" s="107">
        <v>274</v>
      </c>
      <c r="FG25" s="107">
        <v>181</v>
      </c>
      <c r="FH25" s="107">
        <v>297</v>
      </c>
      <c r="FI25" s="107">
        <v>169</v>
      </c>
      <c r="FJ25" s="107">
        <v>182</v>
      </c>
      <c r="FK25" s="107">
        <f>74+150</f>
        <v>224</v>
      </c>
      <c r="FL25" s="101">
        <v>219</v>
      </c>
      <c r="FM25" s="101">
        <v>0</v>
      </c>
      <c r="FN25" s="107">
        <v>102</v>
      </c>
      <c r="FO25" s="107">
        <v>119</v>
      </c>
      <c r="FP25" s="107">
        <v>148</v>
      </c>
      <c r="FQ25" s="107">
        <v>192</v>
      </c>
      <c r="FR25" s="107">
        <v>277</v>
      </c>
      <c r="FS25" s="107">
        <v>88</v>
      </c>
      <c r="FT25" s="107">
        <v>192</v>
      </c>
      <c r="FU25" s="107">
        <v>37</v>
      </c>
      <c r="FV25">
        <v>259</v>
      </c>
      <c r="FW25">
        <v>310</v>
      </c>
      <c r="FX25">
        <v>216</v>
      </c>
      <c r="FY25">
        <v>174</v>
      </c>
      <c r="FZ25">
        <v>220</v>
      </c>
      <c r="GA25">
        <v>59</v>
      </c>
      <c r="GB25">
        <v>59</v>
      </c>
      <c r="GC25">
        <v>194</v>
      </c>
      <c r="GD25">
        <v>117</v>
      </c>
      <c r="GE25">
        <v>179</v>
      </c>
      <c r="GF25">
        <v>181</v>
      </c>
      <c r="GG25">
        <v>279</v>
      </c>
      <c r="GH25">
        <v>97</v>
      </c>
      <c r="GI25">
        <v>196</v>
      </c>
      <c r="GJ25">
        <v>218</v>
      </c>
      <c r="GK25">
        <v>179</v>
      </c>
      <c r="GL25">
        <v>87</v>
      </c>
      <c r="GM25">
        <v>217</v>
      </c>
      <c r="GN25">
        <v>91</v>
      </c>
      <c r="GO25">
        <v>78</v>
      </c>
      <c r="GR25" s="118">
        <v>203</v>
      </c>
      <c r="GS25" s="118">
        <v>99</v>
      </c>
      <c r="GT25" s="118">
        <v>116</v>
      </c>
      <c r="GU25" s="118">
        <v>101</v>
      </c>
      <c r="GV25" s="118">
        <v>97</v>
      </c>
      <c r="GW25" s="118">
        <v>3</v>
      </c>
      <c r="GX25" s="118">
        <v>281</v>
      </c>
      <c r="GY25" s="118">
        <v>203</v>
      </c>
      <c r="GZ25" s="118">
        <v>110</v>
      </c>
      <c r="HA25" s="118">
        <v>106</v>
      </c>
      <c r="HB25" s="118">
        <v>263</v>
      </c>
      <c r="HC25" s="118">
        <v>360</v>
      </c>
      <c r="HD25" s="118">
        <v>201</v>
      </c>
      <c r="HE25" s="118">
        <v>284</v>
      </c>
      <c r="HF25" s="118">
        <v>235</v>
      </c>
      <c r="HG25" s="118">
        <v>277</v>
      </c>
      <c r="HH25" s="118">
        <v>380</v>
      </c>
      <c r="HI25" s="118">
        <v>160</v>
      </c>
      <c r="HJ25" s="118">
        <v>314</v>
      </c>
      <c r="HK25">
        <v>62</v>
      </c>
      <c r="HL25">
        <v>242</v>
      </c>
      <c r="HM25">
        <v>164</v>
      </c>
      <c r="HN25">
        <v>85</v>
      </c>
      <c r="HO25">
        <v>119</v>
      </c>
      <c r="HP25">
        <v>292</v>
      </c>
      <c r="HQ25" s="118">
        <v>183</v>
      </c>
      <c r="HR25" s="118">
        <v>208</v>
      </c>
      <c r="HS25" s="118">
        <v>252</v>
      </c>
      <c r="HT25" s="118">
        <v>192</v>
      </c>
      <c r="HU25" s="118">
        <v>128</v>
      </c>
      <c r="HV25" s="118">
        <v>122</v>
      </c>
      <c r="HW25" s="118">
        <v>268</v>
      </c>
      <c r="HX25" s="118">
        <v>339</v>
      </c>
      <c r="HY25" s="118">
        <v>162</v>
      </c>
      <c r="HZ25" s="118">
        <v>270</v>
      </c>
      <c r="IA25" s="118">
        <v>192</v>
      </c>
      <c r="IB25" s="118">
        <v>309</v>
      </c>
      <c r="IC25" s="118">
        <v>99</v>
      </c>
      <c r="ID25" s="118">
        <v>247</v>
      </c>
      <c r="IE25" s="118">
        <v>134</v>
      </c>
      <c r="IF25" s="118">
        <v>93</v>
      </c>
      <c r="IG25" s="118">
        <v>279</v>
      </c>
      <c r="IH25" s="118">
        <v>215</v>
      </c>
      <c r="II25" s="118">
        <v>290</v>
      </c>
      <c r="IJ25" s="118">
        <v>189</v>
      </c>
      <c r="IK25" s="118">
        <v>238</v>
      </c>
      <c r="IL25" s="118">
        <v>104</v>
      </c>
      <c r="IM25" s="118">
        <v>79</v>
      </c>
      <c r="IN25" s="118">
        <v>204</v>
      </c>
      <c r="IO25" s="118">
        <v>161</v>
      </c>
      <c r="IP25" s="118">
        <v>229</v>
      </c>
      <c r="IQ25" s="118">
        <v>145</v>
      </c>
      <c r="IR25" s="118">
        <v>283</v>
      </c>
      <c r="IS25" s="118">
        <v>187</v>
      </c>
      <c r="IT25" s="118">
        <v>180</v>
      </c>
      <c r="IU25" s="118">
        <v>185</v>
      </c>
      <c r="IV25" s="118">
        <v>256</v>
      </c>
      <c r="IW25" s="118">
        <v>122</v>
      </c>
      <c r="IX25" s="118">
        <v>142</v>
      </c>
      <c r="IY25" s="118">
        <v>254</v>
      </c>
      <c r="IZ25" s="118">
        <v>50</v>
      </c>
      <c r="JA25" s="118"/>
      <c r="JB25" s="118">
        <v>463</v>
      </c>
      <c r="JC25" s="118">
        <v>93</v>
      </c>
      <c r="JD25" s="118">
        <v>187</v>
      </c>
      <c r="JE25" s="118">
        <v>120</v>
      </c>
      <c r="JF25" s="118">
        <v>272</v>
      </c>
      <c r="JG25" s="118">
        <v>87</v>
      </c>
      <c r="JH25" s="118">
        <v>66</v>
      </c>
      <c r="JI25" s="118">
        <v>212</v>
      </c>
      <c r="JJ25" s="118">
        <v>283</v>
      </c>
      <c r="JK25" s="118">
        <v>163</v>
      </c>
      <c r="JL25" s="118">
        <v>340</v>
      </c>
      <c r="JM25" s="118">
        <v>252</v>
      </c>
      <c r="JN25" s="118">
        <v>356</v>
      </c>
      <c r="JO25" s="118">
        <v>240</v>
      </c>
      <c r="JP25" s="118">
        <v>150</v>
      </c>
      <c r="JQ25" s="118">
        <v>161</v>
      </c>
      <c r="JR25" s="118">
        <v>253</v>
      </c>
      <c r="JS25" s="118">
        <v>80</v>
      </c>
      <c r="JT25" s="118">
        <v>158</v>
      </c>
      <c r="JU25" s="118">
        <v>126</v>
      </c>
      <c r="JV25" s="118">
        <v>212</v>
      </c>
      <c r="JW25" s="118">
        <v>210</v>
      </c>
      <c r="JX25" s="118">
        <v>194</v>
      </c>
      <c r="JY25" s="118">
        <v>190</v>
      </c>
      <c r="JZ25" s="118">
        <v>223</v>
      </c>
      <c r="KA25" s="118">
        <v>129</v>
      </c>
      <c r="KB25" s="118">
        <v>226</v>
      </c>
      <c r="KC25" s="118">
        <v>71</v>
      </c>
      <c r="KD25" s="118">
        <v>209</v>
      </c>
      <c r="KE25" s="118">
        <v>106</v>
      </c>
      <c r="KF25" s="118">
        <v>229</v>
      </c>
      <c r="KG25" s="118">
        <v>211</v>
      </c>
      <c r="KH25" s="118">
        <v>195</v>
      </c>
      <c r="KI25" s="118">
        <v>161</v>
      </c>
      <c r="KJ25" s="118">
        <v>270</v>
      </c>
      <c r="KK25" s="118">
        <v>288</v>
      </c>
      <c r="KL25" s="118">
        <v>118</v>
      </c>
      <c r="KM25" s="118">
        <v>143</v>
      </c>
      <c r="KN25" s="118">
        <v>249</v>
      </c>
      <c r="KO25" s="118">
        <v>311</v>
      </c>
      <c r="KP25" s="118">
        <v>231</v>
      </c>
      <c r="KQ25" s="118">
        <v>164</v>
      </c>
      <c r="KR25" s="118">
        <v>357</v>
      </c>
      <c r="KS25" s="118">
        <v>288</v>
      </c>
      <c r="KT25" s="118">
        <v>275</v>
      </c>
      <c r="KU25" s="118">
        <v>218</v>
      </c>
      <c r="KV25" s="118">
        <v>216</v>
      </c>
      <c r="KW25" s="118">
        <v>205</v>
      </c>
      <c r="KX25" s="118">
        <v>128</v>
      </c>
      <c r="KY25" s="118">
        <v>164</v>
      </c>
      <c r="KZ25" s="118">
        <v>223</v>
      </c>
      <c r="LA25" s="118">
        <v>134</v>
      </c>
      <c r="LB25" s="118">
        <v>170</v>
      </c>
      <c r="LC25" s="118">
        <v>108</v>
      </c>
      <c r="LD25" s="118">
        <v>305</v>
      </c>
      <c r="LE25" s="118">
        <v>2</v>
      </c>
      <c r="LF25" s="118">
        <v>181</v>
      </c>
      <c r="LG25" s="118">
        <v>255</v>
      </c>
      <c r="LH25" s="118"/>
      <c r="LI25" s="118"/>
      <c r="LJ25" s="118"/>
      <c r="LK25">
        <v>436</v>
      </c>
      <c r="LL25">
        <v>157</v>
      </c>
      <c r="LM25">
        <v>175</v>
      </c>
      <c r="LN25">
        <v>231</v>
      </c>
      <c r="LO25">
        <v>245</v>
      </c>
      <c r="LP25">
        <v>124</v>
      </c>
      <c r="LQ25">
        <v>157</v>
      </c>
      <c r="LR25">
        <v>273</v>
      </c>
      <c r="LS25">
        <v>76</v>
      </c>
      <c r="LT25">
        <v>154</v>
      </c>
      <c r="LU25" s="118">
        <v>347</v>
      </c>
      <c r="LV25" s="118">
        <v>225</v>
      </c>
      <c r="LW25" s="118">
        <v>170</v>
      </c>
      <c r="LX25" s="118">
        <v>263</v>
      </c>
      <c r="LY25" s="118">
        <v>92</v>
      </c>
      <c r="LZ25" s="118">
        <v>177</v>
      </c>
      <c r="MA25" s="118">
        <v>128</v>
      </c>
      <c r="MB25" s="118">
        <v>352</v>
      </c>
      <c r="MC25" s="118">
        <v>148</v>
      </c>
      <c r="MD25" s="118">
        <v>150</v>
      </c>
      <c r="ME25" s="118">
        <v>294</v>
      </c>
      <c r="MF25" s="118">
        <v>191</v>
      </c>
      <c r="MG25" s="118">
        <v>176</v>
      </c>
      <c r="MH25" s="118">
        <v>118</v>
      </c>
      <c r="MI25" s="118">
        <v>161</v>
      </c>
      <c r="MJ25" s="118">
        <v>150</v>
      </c>
      <c r="MK25" s="118">
        <v>45</v>
      </c>
      <c r="ML25" s="118">
        <v>142</v>
      </c>
      <c r="MM25" s="118">
        <v>193</v>
      </c>
      <c r="MN25" s="118"/>
      <c r="MO25">
        <v>67</v>
      </c>
      <c r="MP25">
        <v>227</v>
      </c>
      <c r="MQ25">
        <v>156</v>
      </c>
      <c r="MR25">
        <v>191</v>
      </c>
      <c r="MS25">
        <v>167</v>
      </c>
      <c r="MT25">
        <v>164</v>
      </c>
      <c r="MU25">
        <v>54</v>
      </c>
      <c r="MV25">
        <v>183</v>
      </c>
      <c r="MW25">
        <v>257</v>
      </c>
      <c r="MX25">
        <v>327</v>
      </c>
      <c r="MY25">
        <v>182</v>
      </c>
      <c r="MZ25">
        <v>116</v>
      </c>
      <c r="NA25" s="118">
        <v>455</v>
      </c>
      <c r="NB25" s="118">
        <v>229</v>
      </c>
      <c r="NC25" s="118">
        <v>167</v>
      </c>
      <c r="ND25" s="118">
        <v>274</v>
      </c>
      <c r="NE25" s="118">
        <v>184</v>
      </c>
      <c r="NF25" s="118">
        <v>191</v>
      </c>
      <c r="NG25" s="118">
        <v>185</v>
      </c>
      <c r="NH25" s="118">
        <v>202</v>
      </c>
      <c r="NI25" s="118">
        <v>55</v>
      </c>
      <c r="NJ25" s="118">
        <v>396</v>
      </c>
      <c r="NK25" s="118">
        <v>144</v>
      </c>
      <c r="NL25" s="118">
        <v>150</v>
      </c>
      <c r="NM25" s="118">
        <v>272</v>
      </c>
      <c r="NN25" s="118">
        <v>187</v>
      </c>
      <c r="NO25" s="118">
        <v>164</v>
      </c>
      <c r="NP25" s="118">
        <v>40</v>
      </c>
      <c r="NQ25" s="118">
        <v>167</v>
      </c>
      <c r="NR25" s="118">
        <v>181</v>
      </c>
      <c r="NS25" s="118">
        <v>95</v>
      </c>
      <c r="NW25" s="230" t="s">
        <v>5</v>
      </c>
      <c r="NX25" s="30">
        <v>29.445159730882672</v>
      </c>
      <c r="NY25" s="30">
        <v>31.66111114638948</v>
      </c>
      <c r="NZ25" s="30">
        <v>39.558792488540391</v>
      </c>
      <c r="OA25" s="30">
        <v>39.433475193108258</v>
      </c>
      <c r="OB25" s="30">
        <v>41.070922381127808</v>
      </c>
      <c r="OC25" s="30">
        <v>42.532219766870881</v>
      </c>
      <c r="OD25" s="30">
        <v>44.600165913087721</v>
      </c>
      <c r="OE25" s="30">
        <v>45.936800914839495</v>
      </c>
      <c r="OF25" s="30">
        <v>42.592501499322054</v>
      </c>
      <c r="OG25" s="30">
        <v>51.252307280880785</v>
      </c>
      <c r="OH25" s="30">
        <v>50.441165790069242</v>
      </c>
      <c r="OI25" s="30">
        <v>49.493549447716063</v>
      </c>
      <c r="OJ25" s="327">
        <f t="shared" si="238"/>
        <v>508.01817155283481</v>
      </c>
      <c r="OK25" s="30">
        <f t="shared" si="239"/>
        <v>100.66506336581254</v>
      </c>
      <c r="OL25" s="30">
        <f t="shared" si="240"/>
        <v>110.65337882803811</v>
      </c>
      <c r="OM25" s="30">
        <f t="shared" si="241"/>
        <v>120.06319006277647</v>
      </c>
      <c r="ON25" s="30">
        <f t="shared" si="242"/>
        <v>151.18702251866608</v>
      </c>
      <c r="OP25" t="s">
        <v>54</v>
      </c>
      <c r="OQ25">
        <v>92</v>
      </c>
      <c r="OR25">
        <v>148</v>
      </c>
      <c r="OS25">
        <v>3</v>
      </c>
      <c r="OT25">
        <v>114</v>
      </c>
      <c r="OU25">
        <v>202</v>
      </c>
      <c r="OV25">
        <v>165</v>
      </c>
      <c r="OW25">
        <v>267</v>
      </c>
      <c r="OX25">
        <v>284</v>
      </c>
      <c r="OY25">
        <v>195</v>
      </c>
    </row>
    <row r="26" spans="2:436">
      <c r="B26" s="367" t="s">
        <v>41</v>
      </c>
      <c r="C26" s="400" t="s">
        <v>43</v>
      </c>
      <c r="D26" s="396">
        <f>IFERROR(D8/D16,0)</f>
        <v>0</v>
      </c>
      <c r="E26" s="396">
        <f t="shared" ref="E26:I26" si="245">IFERROR(E8/E17,0)</f>
        <v>0</v>
      </c>
      <c r="F26" s="396">
        <f>IFERROR(F8/#REF!,0)</f>
        <v>0</v>
      </c>
      <c r="G26" s="396">
        <f t="shared" si="245"/>
        <v>0</v>
      </c>
      <c r="H26" s="396">
        <f t="shared" si="245"/>
        <v>0</v>
      </c>
      <c r="I26" s="396">
        <f t="shared" si="245"/>
        <v>0</v>
      </c>
      <c r="J26" s="390">
        <f t="shared" ref="J26" si="246">IFERROR(J8/J17,0)</f>
        <v>0</v>
      </c>
      <c r="P26" s="189">
        <f t="shared" si="53"/>
        <v>1470</v>
      </c>
      <c r="Q26" s="5" t="s">
        <v>8</v>
      </c>
      <c r="R26" s="148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39"/>
      <c r="BK26" s="239"/>
      <c r="BL26" s="239"/>
      <c r="BM26" s="239"/>
      <c r="BN26" s="239"/>
      <c r="BO26" s="239"/>
      <c r="BP26" s="239"/>
      <c r="BQ26" s="239"/>
      <c r="BR26" s="239"/>
      <c r="BS26" s="239"/>
      <c r="BT26" s="239"/>
      <c r="BU26" s="239"/>
      <c r="BV26" s="239"/>
      <c r="BW26" s="239"/>
      <c r="BX26" s="239"/>
      <c r="BY26" s="239"/>
      <c r="BZ26" s="65">
        <f>SUM(BZ28:BZ29)</f>
        <v>3080.4226020000001</v>
      </c>
      <c r="CA26" s="66">
        <f t="shared" ref="CA26" si="247">SUM(CA27:CA29)</f>
        <v>37.073810000000002</v>
      </c>
      <c r="CB26" s="66">
        <f t="shared" ref="CB26" si="248">SUM(CB27:CB29)</f>
        <v>154.652625</v>
      </c>
      <c r="CC26" s="66">
        <f t="shared" ref="CC26" si="249">SUM(CC27:CC29)</f>
        <v>182.834225</v>
      </c>
      <c r="CD26" s="66">
        <f t="shared" ref="CD26" si="250">SUM(CD27:CD29)</f>
        <v>252.33697699999999</v>
      </c>
      <c r="CE26" s="66">
        <f t="shared" ref="CE26" si="251">SUM(CE27:CE29)</f>
        <v>234.978667</v>
      </c>
      <c r="CF26" s="66">
        <f t="shared" ref="CF26" si="252">SUM(CF27:CF29)</f>
        <v>5.7914599999999998</v>
      </c>
      <c r="CG26" s="66">
        <f t="shared" ref="CG26" si="253">SUM(CG27:CG29)</f>
        <v>38.062475999999997</v>
      </c>
      <c r="CH26" s="66">
        <f t="shared" ref="CH26" si="254">SUM(CH27:CH29)</f>
        <v>77.610235000000003</v>
      </c>
      <c r="CI26" s="66">
        <f t="shared" ref="CI26" si="255">SUM(CI27:CI29)</f>
        <v>282.81661600000001</v>
      </c>
      <c r="CJ26" s="66">
        <f t="shared" ref="CJ26" si="256">SUM(CJ27:CJ29)</f>
        <v>356.565834</v>
      </c>
      <c r="CK26" s="66">
        <f t="shared" ref="CK26" si="257">SUM(CK27:CK29)</f>
        <v>202.88487000000001</v>
      </c>
      <c r="CL26" s="66">
        <f t="shared" ref="CL26" si="258">SUM(CL27:CL29)</f>
        <v>166.872389</v>
      </c>
      <c r="CM26" s="66">
        <f t="shared" ref="CM26" si="259">SUM(CM27:CM29)</f>
        <v>217.74543800000001</v>
      </c>
      <c r="CN26" s="66">
        <f t="shared" ref="CN26" si="260">SUM(CN27:CN29)</f>
        <v>198.92670799999999</v>
      </c>
      <c r="CO26" s="66">
        <f t="shared" ref="CO26" si="261">SUM(CO27:CO29)</f>
        <v>0</v>
      </c>
      <c r="CP26" s="66">
        <f t="shared" ref="CP26" si="262">SUM(CP27:CP29)</f>
        <v>55.288018999999998</v>
      </c>
      <c r="CQ26" s="66">
        <f t="shared" ref="CQ26" si="263">SUM(CQ27:CQ29)</f>
        <v>250.46722700000001</v>
      </c>
      <c r="CR26" s="66">
        <f t="shared" ref="CR26" si="264">SUM(CR27:CR29)</f>
        <v>154.29217600000001</v>
      </c>
      <c r="CS26" s="66">
        <f t="shared" ref="CS26" si="265">SUM(CS27:CS29)</f>
        <v>72.771299999999997</v>
      </c>
      <c r="CT26" s="66">
        <f t="shared" ref="CT26" si="266">SUM(CT27:CT29)</f>
        <v>80.843000000000004</v>
      </c>
      <c r="CU26" s="66">
        <f t="shared" ref="CU26" si="267">SUM(CU27:CU29)</f>
        <v>473.41166900000002</v>
      </c>
      <c r="CV26" s="66">
        <f t="shared" ref="CV26" si="268">SUM(CV27:CV29)</f>
        <v>77.794499999999999</v>
      </c>
      <c r="CW26" s="66">
        <f t="shared" ref="CW26" si="269">SUM(CW27:CW29)</f>
        <v>64.684399999999997</v>
      </c>
      <c r="CX26" s="66">
        <f t="shared" ref="CX26" si="270">SUM(CX27:CX29)</f>
        <v>100.73531699999999</v>
      </c>
      <c r="CY26" s="66">
        <f t="shared" ref="CY26" si="271">SUM(CY27:CY29)</f>
        <v>91.494399999999999</v>
      </c>
      <c r="CZ26" s="66">
        <f t="shared" ref="CZ26" si="272">SUM(CZ27:CZ29)</f>
        <v>170.72130000000001</v>
      </c>
      <c r="DA26" s="66">
        <f t="shared" ref="DA26" si="273">SUM(DA27:DA29)</f>
        <v>17</v>
      </c>
      <c r="DB26" s="66">
        <f t="shared" ref="DB26" si="274">SUM(DB27:DB29)</f>
        <v>74</v>
      </c>
      <c r="DC26" s="66">
        <f t="shared" ref="DC26" si="275">SUM(DC27:DC29)</f>
        <v>265</v>
      </c>
      <c r="DD26" s="67">
        <f t="shared" ref="DD26:DF26" si="276">SUM(DD27:DD29)</f>
        <v>228</v>
      </c>
      <c r="DE26" s="89">
        <f t="shared" si="276"/>
        <v>263.04767700000002</v>
      </c>
      <c r="DF26" s="89">
        <f t="shared" si="276"/>
        <v>319.250812</v>
      </c>
      <c r="DG26" s="67">
        <f t="shared" ref="DG26:EG26" si="277">SUM(DG27:DG29)</f>
        <v>463.37553200000002</v>
      </c>
      <c r="DH26" s="67">
        <f t="shared" si="277"/>
        <v>275.90546500000005</v>
      </c>
      <c r="DI26" s="67">
        <f t="shared" si="277"/>
        <v>303.467558</v>
      </c>
      <c r="DJ26" s="67">
        <f t="shared" si="277"/>
        <v>218.118347</v>
      </c>
      <c r="DK26" s="67">
        <f t="shared" si="277"/>
        <v>151.25120199999998</v>
      </c>
      <c r="DL26" s="67">
        <f t="shared" si="277"/>
        <v>278.68215500000002</v>
      </c>
      <c r="DM26" s="67">
        <f t="shared" si="277"/>
        <v>13.395937999999999</v>
      </c>
      <c r="DN26" s="67">
        <f t="shared" si="277"/>
        <v>230.81364100000002</v>
      </c>
      <c r="DO26" s="67">
        <f t="shared" si="277"/>
        <v>233.85613799999999</v>
      </c>
      <c r="DP26" s="67">
        <f t="shared" si="277"/>
        <v>499.79333799999995</v>
      </c>
      <c r="DQ26" s="67">
        <f t="shared" si="277"/>
        <v>217.11751900000002</v>
      </c>
      <c r="DR26" s="67">
        <f t="shared" si="277"/>
        <v>209.61843900000002</v>
      </c>
      <c r="DS26" s="67">
        <f t="shared" si="277"/>
        <v>95.240399999999994</v>
      </c>
      <c r="DT26" s="67">
        <f t="shared" si="277"/>
        <v>237.881282</v>
      </c>
      <c r="DU26" s="67">
        <f t="shared" si="277"/>
        <v>213.932467</v>
      </c>
      <c r="DV26" s="67">
        <f t="shared" si="277"/>
        <v>337.99490100000003</v>
      </c>
      <c r="DW26" s="67">
        <f t="shared" si="277"/>
        <v>345.80185</v>
      </c>
      <c r="DX26" s="67">
        <f t="shared" si="277"/>
        <v>323.255313</v>
      </c>
      <c r="DY26" s="67">
        <f t="shared" si="277"/>
        <v>255.65763900000002</v>
      </c>
      <c r="DZ26" s="67">
        <f t="shared" si="277"/>
        <v>184.21617000000001</v>
      </c>
      <c r="EA26" s="67">
        <f t="shared" si="277"/>
        <v>163.86486000000002</v>
      </c>
      <c r="EB26" s="67">
        <f t="shared" si="277"/>
        <v>140.276387</v>
      </c>
      <c r="EC26" s="67">
        <f t="shared" si="277"/>
        <v>375.01066600000001</v>
      </c>
      <c r="ED26" s="67">
        <f t="shared" si="277"/>
        <v>303.25560000000002</v>
      </c>
      <c r="EE26" s="67">
        <f t="shared" si="277"/>
        <v>232.12267499999999</v>
      </c>
      <c r="EF26" s="67">
        <f t="shared" si="277"/>
        <v>415.70813300000003</v>
      </c>
      <c r="EG26" s="67">
        <f t="shared" si="277"/>
        <v>251</v>
      </c>
      <c r="EH26" s="94">
        <f t="shared" ref="EH26:FE26" si="278">SUM(EH27:EH29)</f>
        <v>0</v>
      </c>
      <c r="EI26" s="156">
        <f t="shared" si="278"/>
        <v>70</v>
      </c>
      <c r="EJ26" s="94">
        <f t="shared" si="278"/>
        <v>390</v>
      </c>
      <c r="EK26" s="94">
        <f t="shared" si="278"/>
        <v>66</v>
      </c>
      <c r="EL26" s="94">
        <f t="shared" si="278"/>
        <v>150</v>
      </c>
      <c r="EM26" s="94">
        <f t="shared" si="278"/>
        <v>461</v>
      </c>
      <c r="EN26" s="94">
        <f t="shared" si="278"/>
        <v>74</v>
      </c>
      <c r="EO26" s="94">
        <f t="shared" si="278"/>
        <v>247</v>
      </c>
      <c r="EP26" s="94">
        <f t="shared" si="278"/>
        <v>230</v>
      </c>
      <c r="EQ26" s="94">
        <f t="shared" si="278"/>
        <v>458</v>
      </c>
      <c r="ER26" s="94">
        <f t="shared" si="278"/>
        <v>762</v>
      </c>
      <c r="ES26" s="94">
        <f t="shared" si="278"/>
        <v>290</v>
      </c>
      <c r="ET26" s="94">
        <f t="shared" si="278"/>
        <v>415</v>
      </c>
      <c r="EU26" s="94">
        <f t="shared" si="278"/>
        <v>340</v>
      </c>
      <c r="EV26" s="94">
        <f t="shared" si="278"/>
        <v>247</v>
      </c>
      <c r="EW26" s="94">
        <f t="shared" si="278"/>
        <v>150</v>
      </c>
      <c r="EX26" s="94">
        <f t="shared" si="278"/>
        <v>254</v>
      </c>
      <c r="EY26" s="94">
        <f t="shared" si="278"/>
        <v>127</v>
      </c>
      <c r="EZ26" s="94">
        <f t="shared" si="278"/>
        <v>225</v>
      </c>
      <c r="FA26" s="94">
        <f t="shared" si="278"/>
        <v>481</v>
      </c>
      <c r="FB26" s="94">
        <f t="shared" si="278"/>
        <v>193</v>
      </c>
      <c r="FC26" s="94">
        <f t="shared" si="278"/>
        <v>367</v>
      </c>
      <c r="FD26" s="94">
        <f t="shared" si="278"/>
        <v>389</v>
      </c>
      <c r="FE26" s="94">
        <f t="shared" si="278"/>
        <v>422</v>
      </c>
      <c r="FF26" s="94">
        <f t="shared" ref="FF26:FH26" si="279">SUM(FF27:FF29)</f>
        <v>256</v>
      </c>
      <c r="FG26" s="94">
        <f t="shared" si="279"/>
        <v>490</v>
      </c>
      <c r="FH26" s="94">
        <f t="shared" si="279"/>
        <v>325</v>
      </c>
      <c r="FI26" s="94">
        <f t="shared" ref="FI26:FL26" si="280">SUM(FI27:FI29)</f>
        <v>144</v>
      </c>
      <c r="FJ26" s="94">
        <f t="shared" si="280"/>
        <v>512</v>
      </c>
      <c r="FK26" s="94">
        <f t="shared" si="280"/>
        <v>349</v>
      </c>
      <c r="FL26" s="94">
        <f t="shared" si="280"/>
        <v>253</v>
      </c>
      <c r="FM26" s="94">
        <f t="shared" ref="FM26" si="281">SUM(FM27:FM29)</f>
        <v>77</v>
      </c>
      <c r="FN26" s="94">
        <f>SUM(FN27:FN29)</f>
        <v>298.06184099999996</v>
      </c>
      <c r="FO26" s="94">
        <f>SUM(FO27:FO29)</f>
        <v>401.78611100000001</v>
      </c>
      <c r="FP26" s="94">
        <f>SUM(FP27:FP29)</f>
        <v>185.22054800000001</v>
      </c>
      <c r="FQ26" s="94">
        <f t="shared" ref="FQ26" si="282">SUM(FQ27:FQ29)</f>
        <v>293.097666</v>
      </c>
      <c r="FR26" s="94">
        <f t="shared" ref="FR26" si="283">SUM(FR27:FR29)</f>
        <v>190.95434599999999</v>
      </c>
      <c r="FS26" s="94">
        <f t="shared" ref="FS26" si="284">SUM(FS27:FS29)</f>
        <v>519.40592600000002</v>
      </c>
      <c r="FT26" s="94">
        <f t="shared" ref="FT26" si="285">SUM(FT27:FT29)</f>
        <v>320.58789300000001</v>
      </c>
      <c r="FU26" s="94">
        <f t="shared" ref="FU26" si="286">SUM(FU27:FU29)</f>
        <v>358.83977500000003</v>
      </c>
      <c r="FV26" s="94">
        <f t="shared" ref="FV26" si="287">SUM(FV27:FV29)</f>
        <v>341.36503700000003</v>
      </c>
      <c r="FW26" s="94">
        <f t="shared" ref="FW26" si="288">SUM(FW27:FW29)</f>
        <v>260.86026900000002</v>
      </c>
      <c r="FX26" s="94">
        <f t="shared" ref="FX26" si="289">SUM(FX27:FX29)</f>
        <v>190.54961800000001</v>
      </c>
      <c r="FY26" s="94">
        <f t="shared" ref="FY26" si="290">SUM(FY27:FY29)</f>
        <v>395.83206900000005</v>
      </c>
      <c r="FZ26" s="94">
        <f t="shared" ref="FZ26" si="291">SUM(FZ27:FZ29)</f>
        <v>209.75874099999999</v>
      </c>
      <c r="GA26" s="94">
        <f t="shared" ref="GA26" si="292">SUM(GA27:GA29)</f>
        <v>569.36402700000008</v>
      </c>
      <c r="GB26" s="94">
        <f t="shared" ref="GB26" si="293">SUM(GB27:GB29)</f>
        <v>194.89424700000001</v>
      </c>
      <c r="GC26" s="94">
        <f t="shared" ref="GC26" si="294">SUM(GC27:GC29)</f>
        <v>201.08519999999999</v>
      </c>
      <c r="GD26" s="94">
        <f t="shared" ref="GD26" si="295">SUM(GD27:GD29)</f>
        <v>316.05327999999997</v>
      </c>
      <c r="GE26" s="94">
        <f t="shared" ref="GE26" si="296">SUM(GE27:GE29)</f>
        <v>256.40450900000002</v>
      </c>
      <c r="GF26" s="94">
        <f t="shared" ref="GF26" si="297">SUM(GF27:GF29)</f>
        <v>221.26909899999998</v>
      </c>
      <c r="GG26" s="94">
        <f t="shared" ref="GG26" si="298">SUM(GG27:GG29)</f>
        <v>278.65941099999998</v>
      </c>
      <c r="GH26" s="94">
        <f t="shared" ref="GH26" si="299">SUM(GH27:GH29)</f>
        <v>289.33394599999997</v>
      </c>
      <c r="GI26" s="94">
        <f t="shared" ref="GI26" si="300">SUM(GI27:GI29)</f>
        <v>54.647100000000002</v>
      </c>
      <c r="GJ26" s="94">
        <f t="shared" ref="GJ26" si="301">SUM(GJ27:GJ29)</f>
        <v>365.80430000000001</v>
      </c>
      <c r="GK26" s="94">
        <f t="shared" ref="GK26" si="302">SUM(GK27:GK29)</f>
        <v>516.28817600000002</v>
      </c>
      <c r="GL26" s="94">
        <f t="shared" ref="GL26" si="303">SUM(GL27:GL29)</f>
        <v>364.782015</v>
      </c>
      <c r="GM26" s="94">
        <f t="shared" ref="GM26" si="304">SUM(GM27:GM29)</f>
        <v>333.65531099999998</v>
      </c>
      <c r="GN26" s="94">
        <f t="shared" ref="GN26" si="305">SUM(GN27:GN29)</f>
        <v>260.05712499999998</v>
      </c>
      <c r="GO26" s="94">
        <f t="shared" ref="GO26" si="306">SUM(GO27:GO29)</f>
        <v>261.85609699999998</v>
      </c>
      <c r="GP26" s="94">
        <f t="shared" ref="GP26:HW26" si="307">SUM(GP27:GP29)</f>
        <v>240.75634400000001</v>
      </c>
      <c r="GQ26" s="94">
        <f t="shared" ref="GQ26:HU26" si="308">SUM(GQ27:GQ29)</f>
        <v>285.685316</v>
      </c>
      <c r="GR26" s="94">
        <f t="shared" si="307"/>
        <v>1424.582236</v>
      </c>
      <c r="GS26" s="94">
        <f t="shared" si="308"/>
        <v>113.33540000000001</v>
      </c>
      <c r="GT26" s="94">
        <f t="shared" si="307"/>
        <v>119.55855199999999</v>
      </c>
      <c r="GU26" s="94">
        <f t="shared" si="308"/>
        <v>198.35840300000001</v>
      </c>
      <c r="GV26" s="94">
        <f t="shared" si="307"/>
        <v>289.95531499999998</v>
      </c>
      <c r="GW26" s="94">
        <f t="shared" si="308"/>
        <v>146.32688300000001</v>
      </c>
      <c r="GX26" s="94">
        <f t="shared" si="307"/>
        <v>235.62588700000001</v>
      </c>
      <c r="GY26" s="94">
        <f t="shared" si="308"/>
        <v>699.65528600000005</v>
      </c>
      <c r="GZ26" s="94">
        <f t="shared" si="307"/>
        <v>221.82524000000001</v>
      </c>
      <c r="HA26" s="94">
        <f t="shared" si="308"/>
        <v>169.14974000000001</v>
      </c>
      <c r="HB26" s="94">
        <f t="shared" si="307"/>
        <v>425.89879200000001</v>
      </c>
      <c r="HC26" s="94">
        <f t="shared" si="308"/>
        <v>298.40511500000002</v>
      </c>
      <c r="HD26" s="94">
        <f t="shared" si="307"/>
        <v>255.47277800000001</v>
      </c>
      <c r="HE26" s="94">
        <f t="shared" si="308"/>
        <v>327.85075499999999</v>
      </c>
      <c r="HF26" s="94">
        <f t="shared" si="307"/>
        <v>421.62470500000001</v>
      </c>
      <c r="HG26" s="94">
        <f t="shared" si="308"/>
        <v>319.44028300000002</v>
      </c>
      <c r="HH26" s="94">
        <f t="shared" si="307"/>
        <v>320.25523899999996</v>
      </c>
      <c r="HI26" s="94">
        <f t="shared" si="308"/>
        <v>328.89176800000001</v>
      </c>
      <c r="HJ26" s="94">
        <f t="shared" si="307"/>
        <v>451.94736599999999</v>
      </c>
      <c r="HK26" s="94">
        <f t="shared" si="308"/>
        <v>311.21158700000001</v>
      </c>
      <c r="HL26" s="94">
        <f t="shared" si="307"/>
        <v>374.62335099999996</v>
      </c>
      <c r="HM26" s="94">
        <f t="shared" si="308"/>
        <v>257.88306699999998</v>
      </c>
      <c r="HN26" s="94">
        <f t="shared" si="307"/>
        <v>251.41144399999999</v>
      </c>
      <c r="HO26" s="94">
        <f t="shared" si="308"/>
        <v>335.96720700000003</v>
      </c>
      <c r="HP26" s="94">
        <f t="shared" si="307"/>
        <v>400.26400799999999</v>
      </c>
      <c r="HQ26" s="94">
        <f t="shared" si="308"/>
        <v>375.55773899999997</v>
      </c>
      <c r="HR26" s="94">
        <f t="shared" si="307"/>
        <v>129.29255899999998</v>
      </c>
      <c r="HS26" s="94">
        <f t="shared" si="308"/>
        <v>102.99720000000001</v>
      </c>
      <c r="HT26" s="94">
        <f t="shared" si="307"/>
        <v>243.917</v>
      </c>
      <c r="HU26" s="94">
        <f t="shared" si="308"/>
        <v>124.5732</v>
      </c>
      <c r="HV26" s="94">
        <f t="shared" si="307"/>
        <v>0</v>
      </c>
      <c r="HW26" s="94">
        <f t="shared" si="307"/>
        <v>500.30657299999996</v>
      </c>
      <c r="HX26" s="94">
        <f t="shared" ref="HX26:IY26" si="309">SUM(HX27:HX29)</f>
        <v>91.458309999999997</v>
      </c>
      <c r="HY26" s="94">
        <f t="shared" si="309"/>
        <v>665.95078899999999</v>
      </c>
      <c r="HZ26" s="94">
        <f t="shared" si="309"/>
        <v>55.526646</v>
      </c>
      <c r="IA26" s="94">
        <f t="shared" si="309"/>
        <v>0</v>
      </c>
      <c r="IB26" s="94">
        <f t="shared" si="309"/>
        <v>0</v>
      </c>
      <c r="IC26" s="94">
        <f t="shared" si="309"/>
        <v>0</v>
      </c>
      <c r="ID26" s="94">
        <f t="shared" si="309"/>
        <v>0</v>
      </c>
      <c r="IE26" s="94">
        <f t="shared" si="309"/>
        <v>0</v>
      </c>
      <c r="IF26" s="94">
        <f t="shared" si="309"/>
        <v>0</v>
      </c>
      <c r="IG26" s="94">
        <f t="shared" si="309"/>
        <v>0</v>
      </c>
      <c r="IH26" s="94">
        <f t="shared" si="309"/>
        <v>0</v>
      </c>
      <c r="II26" s="94">
        <f t="shared" si="309"/>
        <v>0</v>
      </c>
      <c r="IJ26" s="94">
        <f t="shared" si="309"/>
        <v>0</v>
      </c>
      <c r="IK26" s="94">
        <f t="shared" si="309"/>
        <v>0</v>
      </c>
      <c r="IL26" s="94">
        <f t="shared" si="309"/>
        <v>0</v>
      </c>
      <c r="IM26" s="94">
        <f t="shared" si="309"/>
        <v>0</v>
      </c>
      <c r="IN26" s="94">
        <f t="shared" si="309"/>
        <v>0</v>
      </c>
      <c r="IO26" s="94">
        <f t="shared" si="309"/>
        <v>0</v>
      </c>
      <c r="IP26" s="94">
        <f t="shared" si="309"/>
        <v>0</v>
      </c>
      <c r="IQ26" s="94">
        <f t="shared" si="309"/>
        <v>0</v>
      </c>
      <c r="IR26" s="94">
        <f t="shared" si="309"/>
        <v>0</v>
      </c>
      <c r="IS26" s="94">
        <f t="shared" si="309"/>
        <v>0</v>
      </c>
      <c r="IT26" s="94">
        <f t="shared" si="309"/>
        <v>0</v>
      </c>
      <c r="IU26" s="94">
        <f t="shared" si="309"/>
        <v>0</v>
      </c>
      <c r="IV26" s="94">
        <f t="shared" si="309"/>
        <v>0</v>
      </c>
      <c r="IW26" s="94">
        <f t="shared" si="309"/>
        <v>0</v>
      </c>
      <c r="IX26" s="94">
        <f t="shared" si="309"/>
        <v>0</v>
      </c>
      <c r="IY26" s="94">
        <f t="shared" si="309"/>
        <v>0</v>
      </c>
      <c r="IZ26" s="94">
        <f t="shared" ref="IZ26:JA26" si="310">SUM(IZ27:IZ29)</f>
        <v>0</v>
      </c>
      <c r="JA26" s="94">
        <f t="shared" si="310"/>
        <v>0</v>
      </c>
      <c r="JB26" s="94">
        <f t="shared" ref="JB26:LJ26" si="311">SUM(JB27:JB29)</f>
        <v>306.03483700000004</v>
      </c>
      <c r="JC26" s="94">
        <f t="shared" si="311"/>
        <v>71.637388000000001</v>
      </c>
      <c r="JD26" s="94">
        <f t="shared" si="311"/>
        <v>301.69285500000001</v>
      </c>
      <c r="JE26" s="94">
        <f t="shared" si="311"/>
        <v>371.97323599999999</v>
      </c>
      <c r="JF26" s="94">
        <f t="shared" si="311"/>
        <v>173.00150400000001</v>
      </c>
      <c r="JG26" s="94">
        <f t="shared" si="311"/>
        <v>166.95496199999999</v>
      </c>
      <c r="JH26" s="94">
        <f t="shared" si="311"/>
        <v>0</v>
      </c>
      <c r="JI26" s="94">
        <f t="shared" si="311"/>
        <v>236.047954</v>
      </c>
      <c r="JJ26" s="94">
        <f t="shared" si="311"/>
        <v>19.314737999999998</v>
      </c>
      <c r="JK26" s="94">
        <f t="shared" si="311"/>
        <v>265.60484300000002</v>
      </c>
      <c r="JL26" s="94">
        <f t="shared" si="311"/>
        <v>443.356539</v>
      </c>
      <c r="JM26" s="94">
        <f t="shared" si="311"/>
        <v>539.599289</v>
      </c>
      <c r="JN26" s="94">
        <f t="shared" si="311"/>
        <v>323.40960699999999</v>
      </c>
      <c r="JO26" s="94">
        <f t="shared" si="311"/>
        <v>231.08387500000001</v>
      </c>
      <c r="JP26" s="94">
        <f t="shared" si="311"/>
        <v>118.64823800000001</v>
      </c>
      <c r="JQ26" s="94">
        <f t="shared" si="311"/>
        <v>281.495024</v>
      </c>
      <c r="JR26" s="94">
        <f t="shared" si="311"/>
        <v>274.46515699999998</v>
      </c>
      <c r="JS26" s="94">
        <f t="shared" si="311"/>
        <v>470.341949</v>
      </c>
      <c r="JT26" s="94">
        <f t="shared" si="311"/>
        <v>272.76752399999998</v>
      </c>
      <c r="JU26" s="94">
        <f t="shared" si="311"/>
        <v>411.26654600000001</v>
      </c>
      <c r="JV26" s="94">
        <f t="shared" si="311"/>
        <v>188.511155</v>
      </c>
      <c r="JW26" s="94">
        <f t="shared" si="311"/>
        <v>188.87338699999998</v>
      </c>
      <c r="JX26" s="94">
        <f t="shared" si="311"/>
        <v>760.03686100000004</v>
      </c>
      <c r="JY26" s="94">
        <f t="shared" si="311"/>
        <v>184.63960900000001</v>
      </c>
      <c r="JZ26" s="94">
        <f t="shared" si="311"/>
        <v>329.176896</v>
      </c>
      <c r="KA26" s="94">
        <f t="shared" si="311"/>
        <v>137.68211299999999</v>
      </c>
      <c r="KB26" s="94">
        <f t="shared" si="311"/>
        <v>356.295592</v>
      </c>
      <c r="KC26" s="94">
        <f t="shared" si="311"/>
        <v>163.29079099999998</v>
      </c>
      <c r="KD26" s="94">
        <f t="shared" si="311"/>
        <v>340.40741800000001</v>
      </c>
      <c r="KE26" s="94">
        <f t="shared" si="311"/>
        <v>298.69178500000004</v>
      </c>
      <c r="KF26" s="94">
        <f t="shared" si="311"/>
        <v>1114.7947180000001</v>
      </c>
      <c r="KG26" s="94">
        <f t="shared" si="311"/>
        <v>76.139107999999993</v>
      </c>
      <c r="KH26" s="94">
        <f t="shared" si="311"/>
        <v>348.75293899999997</v>
      </c>
      <c r="KI26" s="94">
        <f t="shared" si="311"/>
        <v>458.81581300000005</v>
      </c>
      <c r="KJ26" s="94">
        <f t="shared" si="311"/>
        <v>290.21509100000003</v>
      </c>
      <c r="KK26" s="94">
        <f t="shared" si="311"/>
        <v>323.63637700000004</v>
      </c>
      <c r="KL26" s="94">
        <f t="shared" si="311"/>
        <v>458.06428099999999</v>
      </c>
      <c r="KM26" s="94">
        <f t="shared" si="311"/>
        <v>253.51613399999999</v>
      </c>
      <c r="KN26" s="94">
        <f t="shared" si="311"/>
        <v>165.98531700000001</v>
      </c>
      <c r="KO26" s="94">
        <f t="shared" si="311"/>
        <v>207.45570199999997</v>
      </c>
      <c r="KP26" s="94">
        <f t="shared" si="311"/>
        <v>337.78588000000002</v>
      </c>
      <c r="KQ26" s="94">
        <f t="shared" si="311"/>
        <v>244.36318700000001</v>
      </c>
      <c r="KR26" s="94">
        <f t="shared" si="311"/>
        <v>711.63503500000002</v>
      </c>
      <c r="KS26" s="94">
        <f t="shared" si="311"/>
        <v>260.44735500000002</v>
      </c>
      <c r="KT26" s="94">
        <f t="shared" si="311"/>
        <v>454.81948799999998</v>
      </c>
      <c r="KU26" s="94">
        <f t="shared" si="311"/>
        <v>499.93674299999998</v>
      </c>
      <c r="KV26" s="94">
        <f t="shared" si="311"/>
        <v>236.48037600000001</v>
      </c>
      <c r="KW26" s="94">
        <f t="shared" si="311"/>
        <v>698.65734999999995</v>
      </c>
      <c r="KX26" s="94">
        <f t="shared" si="311"/>
        <v>233.99943400000001</v>
      </c>
      <c r="KY26" s="94">
        <f t="shared" si="311"/>
        <v>812.10622499999999</v>
      </c>
      <c r="KZ26" s="94">
        <f t="shared" si="311"/>
        <v>370.60453899999999</v>
      </c>
      <c r="LA26" s="94">
        <f t="shared" si="311"/>
        <v>430.005966</v>
      </c>
      <c r="LB26" s="94">
        <f t="shared" si="311"/>
        <v>394.836097</v>
      </c>
      <c r="LC26" s="94">
        <f t="shared" si="311"/>
        <v>244.05231800000001</v>
      </c>
      <c r="LD26" s="94">
        <f t="shared" si="311"/>
        <v>352.681152</v>
      </c>
      <c r="LE26" s="94">
        <f t="shared" si="311"/>
        <v>382.44720699999999</v>
      </c>
      <c r="LF26" s="94">
        <f t="shared" si="311"/>
        <v>189.04231499999997</v>
      </c>
      <c r="LG26" s="94">
        <f t="shared" si="311"/>
        <v>224.12890400000001</v>
      </c>
      <c r="LH26" s="94">
        <f t="shared" si="311"/>
        <v>171.51101499999999</v>
      </c>
      <c r="LI26" s="94">
        <f t="shared" si="311"/>
        <v>66.029851000000008</v>
      </c>
      <c r="LJ26" s="94">
        <f t="shared" si="311"/>
        <v>192.573622</v>
      </c>
      <c r="LK26" s="94">
        <f t="shared" ref="LK26:NS26" si="312">SUM(LK27:LK29)</f>
        <v>539.83019400000001</v>
      </c>
      <c r="LL26" s="94">
        <f t="shared" si="312"/>
        <v>234.74104199999999</v>
      </c>
      <c r="LM26" s="94">
        <f t="shared" si="312"/>
        <v>570.00543300000004</v>
      </c>
      <c r="LN26" s="94">
        <f t="shared" si="312"/>
        <v>286.63072499999998</v>
      </c>
      <c r="LO26" s="94">
        <f t="shared" si="312"/>
        <v>281.68826999999999</v>
      </c>
      <c r="LP26" s="94">
        <f t="shared" si="312"/>
        <v>420.06946199999999</v>
      </c>
      <c r="LQ26" s="94">
        <f t="shared" si="312"/>
        <v>185.35049100000001</v>
      </c>
      <c r="LR26" s="94">
        <f t="shared" si="312"/>
        <v>471.23043699999994</v>
      </c>
      <c r="LS26" s="94">
        <f t="shared" si="312"/>
        <v>148.14134100000001</v>
      </c>
      <c r="LT26" s="94">
        <f t="shared" si="312"/>
        <v>385.34245800000002</v>
      </c>
      <c r="LU26" s="94">
        <f t="shared" si="312"/>
        <v>1281.265204</v>
      </c>
      <c r="LV26" s="94">
        <f t="shared" si="312"/>
        <v>495.91268400000001</v>
      </c>
      <c r="LW26" s="94">
        <f t="shared" si="312"/>
        <v>461.39729599999998</v>
      </c>
      <c r="LX26" s="94">
        <f t="shared" si="312"/>
        <v>359.82520600000004</v>
      </c>
      <c r="LY26" s="94">
        <f t="shared" si="312"/>
        <v>396.48324400000001</v>
      </c>
      <c r="LZ26" s="94">
        <f t="shared" si="312"/>
        <v>186.061632</v>
      </c>
      <c r="MA26" s="94">
        <f t="shared" si="312"/>
        <v>624.63317099999995</v>
      </c>
      <c r="MB26" s="94">
        <f t="shared" si="312"/>
        <v>631.14245700000004</v>
      </c>
      <c r="MC26" s="94">
        <f t="shared" si="312"/>
        <v>460.22875599999998</v>
      </c>
      <c r="MD26" s="94">
        <f t="shared" si="312"/>
        <v>366.19951599999996</v>
      </c>
      <c r="ME26" s="94">
        <f t="shared" si="312"/>
        <v>494.13603499999999</v>
      </c>
      <c r="MF26" s="94">
        <f t="shared" si="312"/>
        <v>549.99680699999999</v>
      </c>
      <c r="MG26" s="94">
        <f t="shared" si="312"/>
        <v>264.15304400000002</v>
      </c>
      <c r="MH26" s="94">
        <f t="shared" si="312"/>
        <v>530.28549099999998</v>
      </c>
      <c r="MI26" s="94">
        <f t="shared" si="312"/>
        <v>553.22929499999998</v>
      </c>
      <c r="MJ26" s="94">
        <f t="shared" si="312"/>
        <v>151.05869000000001</v>
      </c>
      <c r="MK26" s="94">
        <f t="shared" si="312"/>
        <v>226.861662</v>
      </c>
      <c r="ML26" s="94">
        <f t="shared" si="312"/>
        <v>368.66372999999999</v>
      </c>
      <c r="MM26" s="94">
        <f t="shared" si="312"/>
        <v>253.33661999999998</v>
      </c>
      <c r="MN26" s="94">
        <f t="shared" si="312"/>
        <v>145.97957</v>
      </c>
      <c r="MO26" s="94">
        <f t="shared" si="312"/>
        <v>695.07108999999991</v>
      </c>
      <c r="MP26" s="94">
        <f t="shared" si="312"/>
        <v>699.98847899999998</v>
      </c>
      <c r="MQ26" s="94">
        <f t="shared" si="312"/>
        <v>762.31644900000003</v>
      </c>
      <c r="MR26" s="94">
        <f t="shared" si="312"/>
        <v>351.16397599999999</v>
      </c>
      <c r="MS26" s="94">
        <f t="shared" si="312"/>
        <v>505.558224</v>
      </c>
      <c r="MT26" s="94">
        <f t="shared" si="312"/>
        <v>344.63045199999999</v>
      </c>
      <c r="MU26" s="94">
        <f t="shared" si="312"/>
        <v>834.32771300000013</v>
      </c>
      <c r="MV26" s="94">
        <f t="shared" si="312"/>
        <v>269.85271299999999</v>
      </c>
      <c r="MW26" s="94">
        <f t="shared" si="312"/>
        <v>459.67262200000005</v>
      </c>
      <c r="MX26" s="94">
        <f t="shared" si="312"/>
        <v>610.31786299999999</v>
      </c>
      <c r="MY26" s="94">
        <f t="shared" si="312"/>
        <v>285.12368700000002</v>
      </c>
      <c r="MZ26" s="94">
        <f t="shared" si="312"/>
        <v>419.73416099999997</v>
      </c>
      <c r="NA26" s="94">
        <f t="shared" si="312"/>
        <v>775.90923899999996</v>
      </c>
      <c r="NB26" s="94">
        <f t="shared" si="312"/>
        <v>95.079668999999996</v>
      </c>
      <c r="NC26" s="94">
        <f t="shared" si="312"/>
        <v>603.43428399999993</v>
      </c>
      <c r="ND26" s="94">
        <f t="shared" si="312"/>
        <v>322.91278</v>
      </c>
      <c r="NE26" s="94">
        <f t="shared" si="312"/>
        <v>344.16812800000002</v>
      </c>
      <c r="NF26" s="94">
        <f t="shared" si="312"/>
        <v>259.200425</v>
      </c>
      <c r="NG26" s="94">
        <f t="shared" si="312"/>
        <v>276.28726699999999</v>
      </c>
      <c r="NH26" s="94">
        <f t="shared" si="312"/>
        <v>497.28941299999997</v>
      </c>
      <c r="NI26" s="94">
        <f t="shared" si="312"/>
        <v>503.11615899999998</v>
      </c>
      <c r="NJ26" s="94">
        <f t="shared" si="312"/>
        <v>264.96637099999998</v>
      </c>
      <c r="NK26" s="94">
        <f t="shared" si="312"/>
        <v>387.72522400000003</v>
      </c>
      <c r="NL26" s="94">
        <f t="shared" si="312"/>
        <v>269.23732999999999</v>
      </c>
      <c r="NM26" s="94">
        <f t="shared" si="312"/>
        <v>545.91020400000002</v>
      </c>
      <c r="NN26" s="94">
        <f t="shared" si="312"/>
        <v>380.89275700000002</v>
      </c>
      <c r="NO26" s="94">
        <f t="shared" si="312"/>
        <v>123.962564</v>
      </c>
      <c r="NP26" s="94">
        <f t="shared" si="312"/>
        <v>0</v>
      </c>
      <c r="NQ26" s="94">
        <f t="shared" si="312"/>
        <v>0</v>
      </c>
      <c r="NR26" s="94">
        <f t="shared" si="312"/>
        <v>0</v>
      </c>
      <c r="NS26" s="94">
        <f t="shared" si="312"/>
        <v>0</v>
      </c>
      <c r="NW26" s="230" t="s">
        <v>10</v>
      </c>
      <c r="NX26" s="33">
        <v>3.3340251652617789</v>
      </c>
      <c r="NY26" s="33">
        <v>4.1607639716070537</v>
      </c>
      <c r="NZ26" s="33">
        <v>4.468651568103664</v>
      </c>
      <c r="OA26" s="33">
        <v>5.4367618518561214</v>
      </c>
      <c r="OB26" s="33">
        <v>5.7785716103368872</v>
      </c>
      <c r="OC26" s="33">
        <v>6.0256007082723331</v>
      </c>
      <c r="OD26" s="33">
        <v>6.3072391671849264</v>
      </c>
      <c r="OE26" s="33">
        <v>6.5486808560624885</v>
      </c>
      <c r="OF26" s="33">
        <v>7.0481095141285497</v>
      </c>
      <c r="OG26" s="33">
        <v>7.0763979556139844</v>
      </c>
      <c r="OH26" s="33">
        <v>6.9028635982511179</v>
      </c>
      <c r="OI26" s="33">
        <v>6.9123340328434155</v>
      </c>
      <c r="OJ26" s="326">
        <f t="shared" si="238"/>
        <v>69.999999999522316</v>
      </c>
      <c r="OK26" s="33">
        <f t="shared" si="239"/>
        <v>11.963440704972497</v>
      </c>
      <c r="OL26" s="33">
        <f t="shared" si="240"/>
        <v>14.066177391566839</v>
      </c>
      <c r="OM26" s="33">
        <f t="shared" si="241"/>
        <v>15.683985030296672</v>
      </c>
      <c r="ON26" s="33">
        <f t="shared" si="242"/>
        <v>20.891595586708519</v>
      </c>
      <c r="OP26" s="94" t="s">
        <v>54</v>
      </c>
      <c r="OQ26" s="94">
        <v>92</v>
      </c>
      <c r="OR26" s="94">
        <v>148</v>
      </c>
      <c r="OS26" s="94">
        <v>3</v>
      </c>
      <c r="OT26" s="94">
        <v>114</v>
      </c>
      <c r="OU26" s="94">
        <v>202</v>
      </c>
      <c r="OV26" s="94">
        <v>165</v>
      </c>
      <c r="OW26" s="94">
        <v>267</v>
      </c>
      <c r="OX26" s="94">
        <v>284</v>
      </c>
      <c r="OY26" s="94">
        <v>195</v>
      </c>
      <c r="OZ26" s="94"/>
      <c r="PA26" s="94">
        <f t="shared" ref="OP26:PT26" si="313">SUM(PA27:PA29)</f>
        <v>0</v>
      </c>
      <c r="PB26" s="94">
        <f t="shared" si="313"/>
        <v>0</v>
      </c>
      <c r="PC26" s="94">
        <f t="shared" si="313"/>
        <v>0</v>
      </c>
      <c r="PD26" s="94">
        <f t="shared" si="313"/>
        <v>0</v>
      </c>
      <c r="PE26" s="94">
        <f t="shared" si="313"/>
        <v>0</v>
      </c>
      <c r="PF26" s="94">
        <f t="shared" si="313"/>
        <v>0</v>
      </c>
      <c r="PG26" s="94">
        <f t="shared" si="313"/>
        <v>0</v>
      </c>
      <c r="PH26" s="94">
        <f t="shared" si="313"/>
        <v>0</v>
      </c>
      <c r="PI26" s="94">
        <f t="shared" si="313"/>
        <v>0</v>
      </c>
      <c r="PJ26" s="94">
        <f t="shared" si="313"/>
        <v>0</v>
      </c>
      <c r="PK26" s="94">
        <f t="shared" si="313"/>
        <v>0</v>
      </c>
      <c r="PL26" s="94">
        <f t="shared" si="313"/>
        <v>0</v>
      </c>
      <c r="PM26" s="94">
        <f t="shared" si="313"/>
        <v>0</v>
      </c>
      <c r="PN26" s="94">
        <f t="shared" si="313"/>
        <v>0</v>
      </c>
      <c r="PO26" s="94">
        <f t="shared" si="313"/>
        <v>0</v>
      </c>
      <c r="PP26" s="94">
        <f t="shared" si="313"/>
        <v>0</v>
      </c>
      <c r="PQ26" s="94">
        <f t="shared" si="313"/>
        <v>0</v>
      </c>
      <c r="PR26" s="94">
        <f t="shared" si="313"/>
        <v>0</v>
      </c>
      <c r="PS26" s="94">
        <f t="shared" si="313"/>
        <v>0</v>
      </c>
      <c r="PT26" s="94">
        <f t="shared" si="313"/>
        <v>0</v>
      </c>
    </row>
    <row r="27" spans="2:436">
      <c r="B27" s="368" t="s">
        <v>41</v>
      </c>
      <c r="C27" s="399" t="s">
        <v>44</v>
      </c>
      <c r="D27" s="196"/>
      <c r="E27" s="196"/>
      <c r="F27" s="196">
        <f>IFERROR(F9/#REF!,0)</f>
        <v>0</v>
      </c>
      <c r="G27" s="196"/>
      <c r="H27" s="196"/>
      <c r="I27" s="196"/>
      <c r="J27" s="404">
        <f t="shared" ref="J27" si="314">IFERROR(J9/J18,0)</f>
        <v>0</v>
      </c>
      <c r="P27" s="189">
        <f t="shared" si="53"/>
        <v>0</v>
      </c>
      <c r="Q27" s="144" t="s">
        <v>38</v>
      </c>
      <c r="R27" s="58" t="s">
        <v>39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100">
        <v>0</v>
      </c>
      <c r="CA27" s="100">
        <v>0</v>
      </c>
      <c r="CB27" s="100">
        <v>0</v>
      </c>
      <c r="CC27" s="100">
        <v>0</v>
      </c>
      <c r="CD27" s="100">
        <v>0</v>
      </c>
      <c r="CE27" s="100">
        <v>0</v>
      </c>
      <c r="CF27" s="100">
        <v>0</v>
      </c>
      <c r="CG27" s="100">
        <v>0</v>
      </c>
      <c r="CH27" s="100">
        <v>0</v>
      </c>
      <c r="CI27" s="100">
        <v>0</v>
      </c>
      <c r="CJ27" s="100">
        <v>0</v>
      </c>
      <c r="CK27" s="100">
        <v>0</v>
      </c>
      <c r="CL27" s="100"/>
      <c r="CM27" s="100"/>
      <c r="CN27" s="100"/>
      <c r="CO27" s="100"/>
      <c r="CP27" s="100">
        <v>0</v>
      </c>
      <c r="CQ27" s="100">
        <v>0</v>
      </c>
      <c r="CR27" s="100">
        <v>0</v>
      </c>
      <c r="CS27" s="100">
        <v>0</v>
      </c>
      <c r="CT27" s="100">
        <v>0</v>
      </c>
      <c r="CU27" s="100">
        <v>0</v>
      </c>
      <c r="CV27" s="100">
        <v>0</v>
      </c>
      <c r="CW27" s="100">
        <v>0</v>
      </c>
      <c r="CX27" s="100">
        <v>0</v>
      </c>
      <c r="CY27" s="100">
        <v>0</v>
      </c>
      <c r="CZ27" s="100">
        <v>0</v>
      </c>
      <c r="DA27" s="107"/>
      <c r="DB27" s="107"/>
      <c r="DC27" s="107"/>
      <c r="DD27" s="72">
        <v>0</v>
      </c>
      <c r="DE27" s="96"/>
      <c r="DF27" s="96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 s="150">
        <v>0</v>
      </c>
      <c r="EJ27" s="101">
        <v>0</v>
      </c>
      <c r="EK27" s="101">
        <v>0</v>
      </c>
      <c r="EL27" s="101">
        <v>0</v>
      </c>
      <c r="EM27" s="101">
        <v>0</v>
      </c>
      <c r="EN27" s="101">
        <v>0</v>
      </c>
      <c r="EO27" s="101">
        <v>0</v>
      </c>
      <c r="EP27" s="101">
        <v>0</v>
      </c>
      <c r="EQ27" s="101">
        <v>0</v>
      </c>
      <c r="ER27" s="101">
        <v>0</v>
      </c>
      <c r="ES27" s="101">
        <v>0</v>
      </c>
      <c r="ET27" s="101">
        <v>0</v>
      </c>
      <c r="EU27" s="101">
        <v>0</v>
      </c>
      <c r="EV27" s="101">
        <v>0</v>
      </c>
      <c r="EW27" s="101">
        <v>0</v>
      </c>
      <c r="EX27" s="101">
        <v>0</v>
      </c>
      <c r="EY27" s="101">
        <v>0</v>
      </c>
      <c r="EZ27" s="101">
        <v>0</v>
      </c>
      <c r="FA27" s="101">
        <v>0</v>
      </c>
      <c r="FB27" s="101">
        <v>0</v>
      </c>
      <c r="FC27" s="101">
        <v>0</v>
      </c>
      <c r="FD27" s="101">
        <v>0</v>
      </c>
      <c r="FE27" s="101">
        <v>0</v>
      </c>
      <c r="FF27" s="101">
        <v>0</v>
      </c>
      <c r="FG27" s="101">
        <v>0</v>
      </c>
      <c r="FH27" s="101">
        <v>0</v>
      </c>
      <c r="FI27" s="101">
        <v>0</v>
      </c>
      <c r="FJ27" s="101">
        <v>0</v>
      </c>
      <c r="FK27" s="101">
        <v>0</v>
      </c>
      <c r="FL27" s="101">
        <v>0</v>
      </c>
      <c r="FM27" s="101">
        <v>0</v>
      </c>
      <c r="KF27">
        <v>430</v>
      </c>
      <c r="NW27" s="230" t="s">
        <v>9</v>
      </c>
      <c r="NX27" s="33">
        <v>5.503159139000001</v>
      </c>
      <c r="NY27" s="33">
        <v>5.503159139000001</v>
      </c>
      <c r="NZ27" s="33">
        <v>6.5234914929999999</v>
      </c>
      <c r="OA27" s="33">
        <v>6.6267076710000001</v>
      </c>
      <c r="OB27" s="33">
        <v>7.138657845</v>
      </c>
      <c r="OC27" s="33">
        <v>6.2391163340000011</v>
      </c>
      <c r="OD27" s="33">
        <v>6.7254445799999996</v>
      </c>
      <c r="OE27" s="33">
        <v>6.453732339000001</v>
      </c>
      <c r="OF27" s="33">
        <v>6.0966345730000011</v>
      </c>
      <c r="OG27" s="33">
        <v>7.2747746959999997</v>
      </c>
      <c r="OH27" s="33">
        <v>6.2765416910000003</v>
      </c>
      <c r="OI27" s="33">
        <v>6.1327066010000006</v>
      </c>
      <c r="OJ27" s="326">
        <f t="shared" si="238"/>
        <v>76.494126101000006</v>
      </c>
      <c r="OK27" s="33">
        <f t="shared" si="239"/>
        <v>17.529809771000004</v>
      </c>
      <c r="OL27" s="33">
        <f t="shared" si="240"/>
        <v>18.653358303000001</v>
      </c>
      <c r="OM27" s="33">
        <f t="shared" si="241"/>
        <v>20.288857009000001</v>
      </c>
      <c r="ON27" s="33">
        <f t="shared" si="242"/>
        <v>19.684022988000002</v>
      </c>
    </row>
    <row r="28" spans="2:436">
      <c r="B28" s="481" t="s">
        <v>55</v>
      </c>
      <c r="C28" s="481"/>
      <c r="D28" s="391">
        <f>R6</f>
        <v>0.48679135992158673</v>
      </c>
      <c r="E28" s="391">
        <f>R5</f>
        <v>0.22984313111235746</v>
      </c>
      <c r="F28" s="391">
        <f>R10</f>
        <v>0.55205127240343832</v>
      </c>
      <c r="G28" s="391">
        <f>R9</f>
        <v>0.47304568646744721</v>
      </c>
      <c r="H28" s="391">
        <f>R8</f>
        <v>8.1530070249646366E-3</v>
      </c>
      <c r="I28" s="391">
        <f>R7</f>
        <v>0.13364228140751461</v>
      </c>
      <c r="J28" s="391">
        <f>R4</f>
        <v>0.49046058676069559</v>
      </c>
      <c r="O28" s="96"/>
      <c r="P28" s="189">
        <f t="shared" si="53"/>
        <v>2712</v>
      </c>
      <c r="Q28" s="145"/>
      <c r="R28" s="59" t="s">
        <v>40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96">
        <v>146.42260200000001</v>
      </c>
      <c r="CA28" s="96">
        <v>37.073810000000002</v>
      </c>
      <c r="CB28" s="96">
        <v>154.652625</v>
      </c>
      <c r="CC28" s="96">
        <v>182.834225</v>
      </c>
      <c r="CD28" s="96">
        <v>252.33697699999999</v>
      </c>
      <c r="CE28" s="96">
        <v>234.978667</v>
      </c>
      <c r="CF28" s="96">
        <v>5.7914599999999998</v>
      </c>
      <c r="CG28" s="96">
        <v>38.062475999999997</v>
      </c>
      <c r="CH28" s="96">
        <v>77.610235000000003</v>
      </c>
      <c r="CI28" s="96">
        <v>282.81661600000001</v>
      </c>
      <c r="CJ28" s="96">
        <v>356.565834</v>
      </c>
      <c r="CK28" s="96">
        <v>202.88487000000001</v>
      </c>
      <c r="CL28" s="96">
        <v>166.872389</v>
      </c>
      <c r="CM28" s="96">
        <v>217.74543800000001</v>
      </c>
      <c r="CN28" s="96">
        <v>198.92670799999999</v>
      </c>
      <c r="CO28" s="96">
        <v>0</v>
      </c>
      <c r="CP28" s="96">
        <v>55.288018999999998</v>
      </c>
      <c r="CQ28" s="96">
        <v>250.46722700000001</v>
      </c>
      <c r="CR28" s="96">
        <v>154.29217600000001</v>
      </c>
      <c r="CS28" s="96">
        <v>72.771299999999997</v>
      </c>
      <c r="CT28" s="96">
        <v>80.843000000000004</v>
      </c>
      <c r="CU28" s="96">
        <v>473.41166900000002</v>
      </c>
      <c r="CV28" s="96">
        <v>77.794499999999999</v>
      </c>
      <c r="CW28" s="96">
        <v>64.684399999999997</v>
      </c>
      <c r="CX28" s="96">
        <v>100.73531699999999</v>
      </c>
      <c r="CY28" s="96">
        <v>91.494399999999999</v>
      </c>
      <c r="CZ28" s="96">
        <v>170.72130000000001</v>
      </c>
      <c r="DA28" s="106">
        <v>17</v>
      </c>
      <c r="DB28" s="107">
        <v>74</v>
      </c>
      <c r="DC28" s="107">
        <v>265</v>
      </c>
      <c r="DD28" s="72">
        <v>228</v>
      </c>
      <c r="DE28" s="135">
        <v>91.854601000000002</v>
      </c>
      <c r="DF28" s="135">
        <v>137.5599</v>
      </c>
      <c r="DG28" s="135">
        <v>225.71430000000001</v>
      </c>
      <c r="DH28" s="135">
        <v>133.44130000000001</v>
      </c>
      <c r="DI28" s="135">
        <v>92.673688999999996</v>
      </c>
      <c r="DJ28" s="135">
        <v>158.809977</v>
      </c>
      <c r="DK28" s="135">
        <v>0.7</v>
      </c>
      <c r="DL28" s="135">
        <v>234.939604</v>
      </c>
      <c r="DM28" s="135">
        <v>13.395937999999999</v>
      </c>
      <c r="DN28" s="135">
        <v>91.229405</v>
      </c>
      <c r="DO28" s="135">
        <v>112.54985499999999</v>
      </c>
      <c r="DP28" s="135">
        <v>285.42599999999999</v>
      </c>
      <c r="DQ28" s="135">
        <v>108.4922</v>
      </c>
      <c r="DR28" s="135">
        <v>110.4552</v>
      </c>
      <c r="DS28" s="135">
        <v>95.240399999999994</v>
      </c>
      <c r="DT28" s="135">
        <v>154.97929999999999</v>
      </c>
      <c r="DU28" s="135">
        <v>57.1464</v>
      </c>
      <c r="DV28" s="135">
        <v>188.56639999999999</v>
      </c>
      <c r="DW28" s="135">
        <v>138.70320000000001</v>
      </c>
      <c r="DX28" s="135">
        <v>220.49517700000001</v>
      </c>
      <c r="DY28" s="135">
        <v>167.3734</v>
      </c>
      <c r="DZ28" s="135">
        <v>33.668599999999998</v>
      </c>
      <c r="EA28" s="135">
        <v>120.53830000000001</v>
      </c>
      <c r="EB28" s="135">
        <v>101.556</v>
      </c>
      <c r="EC28" s="135">
        <v>233.5711</v>
      </c>
      <c r="ED28" s="135">
        <v>303.25560000000002</v>
      </c>
      <c r="EE28" s="135">
        <v>145.12729999999999</v>
      </c>
      <c r="EF28" s="135">
        <v>258.50510000000003</v>
      </c>
      <c r="EG28">
        <v>251</v>
      </c>
      <c r="EH28">
        <v>0</v>
      </c>
      <c r="EI28" s="151">
        <v>1</v>
      </c>
      <c r="EJ28" s="135">
        <v>163</v>
      </c>
      <c r="EK28" s="135">
        <v>66</v>
      </c>
      <c r="EL28" s="135">
        <v>44</v>
      </c>
      <c r="EM28" s="135">
        <v>300</v>
      </c>
      <c r="EN28" s="135">
        <v>74</v>
      </c>
      <c r="EO28" s="135">
        <v>150</v>
      </c>
      <c r="EP28" s="135">
        <v>137</v>
      </c>
      <c r="EQ28" s="135">
        <v>217</v>
      </c>
      <c r="ER28" s="135">
        <v>515</v>
      </c>
      <c r="ES28" s="135">
        <v>61</v>
      </c>
      <c r="ET28" s="135">
        <v>182</v>
      </c>
      <c r="EU28" s="135">
        <v>185</v>
      </c>
      <c r="EV28" s="135">
        <v>94</v>
      </c>
      <c r="EW28" s="135">
        <v>10</v>
      </c>
      <c r="EX28" s="179">
        <v>78</v>
      </c>
      <c r="EY28" s="179">
        <v>77</v>
      </c>
      <c r="EZ28" s="179">
        <v>97</v>
      </c>
      <c r="FA28" s="179">
        <v>195</v>
      </c>
      <c r="FB28" s="135">
        <v>124</v>
      </c>
      <c r="FC28" s="135">
        <v>180</v>
      </c>
      <c r="FD28" s="135">
        <v>218</v>
      </c>
      <c r="FE28" s="101">
        <v>242</v>
      </c>
      <c r="FF28" s="101">
        <v>99</v>
      </c>
      <c r="FG28" s="101">
        <v>106</v>
      </c>
      <c r="FH28" s="101">
        <v>172</v>
      </c>
      <c r="FI28" s="101">
        <v>97</v>
      </c>
      <c r="FJ28" s="101">
        <v>219</v>
      </c>
      <c r="FK28" s="101">
        <v>91</v>
      </c>
      <c r="FL28" s="101">
        <v>107</v>
      </c>
      <c r="FM28" s="101">
        <v>77</v>
      </c>
      <c r="FN28" s="106">
        <v>50.551400000000001</v>
      </c>
      <c r="FO28" s="106">
        <v>272.49446399999999</v>
      </c>
      <c r="FP28" s="106">
        <v>126.0214</v>
      </c>
      <c r="FQ28" s="106">
        <v>72.994699999999995</v>
      </c>
      <c r="FR28" s="106">
        <v>111.6497</v>
      </c>
      <c r="FS28" s="106">
        <v>335.3963</v>
      </c>
      <c r="FT28" s="106">
        <v>167.1585</v>
      </c>
      <c r="FU28" s="106">
        <v>207.24950000000001</v>
      </c>
      <c r="FV28" s="194">
        <v>151.629076</v>
      </c>
      <c r="FW28" s="194">
        <v>125.58620000000001</v>
      </c>
      <c r="FX28" s="194">
        <v>105.086944</v>
      </c>
      <c r="FY28" s="194">
        <v>167.72735700000001</v>
      </c>
      <c r="FZ28" s="194">
        <v>98.898499999999999</v>
      </c>
      <c r="GA28" s="194">
        <v>143.20650000000001</v>
      </c>
      <c r="GB28" s="194">
        <v>74.148600000000002</v>
      </c>
      <c r="GC28" s="194">
        <v>201.08519999999999</v>
      </c>
      <c r="GD28" s="194">
        <v>72.159099999999995</v>
      </c>
      <c r="GE28" s="194">
        <v>134.20670000000001</v>
      </c>
      <c r="GF28" s="194">
        <v>109.9738</v>
      </c>
      <c r="GG28" s="194">
        <v>165.3279</v>
      </c>
      <c r="GH28" s="194">
        <v>182.70339999999999</v>
      </c>
      <c r="GI28" s="194">
        <v>54.647100000000002</v>
      </c>
      <c r="GJ28" s="194">
        <v>356.04430000000002</v>
      </c>
      <c r="GK28" s="194">
        <v>330.7491</v>
      </c>
      <c r="GL28" s="194">
        <v>114.35680000000001</v>
      </c>
      <c r="GM28">
        <v>97.234800000000007</v>
      </c>
      <c r="GN28">
        <v>60.041600000000003</v>
      </c>
      <c r="GO28">
        <v>111.9495</v>
      </c>
      <c r="GP28">
        <v>0</v>
      </c>
      <c r="GQ28">
        <v>168.23650000000001</v>
      </c>
      <c r="GR28" s="135">
        <v>213.41849999999999</v>
      </c>
      <c r="GS28" s="135">
        <v>113.33540000000001</v>
      </c>
      <c r="GT28" s="135">
        <v>62.563823999999997</v>
      </c>
      <c r="GU28" s="135">
        <v>198.35840300000001</v>
      </c>
      <c r="GV28" s="135">
        <v>252.04879299999999</v>
      </c>
      <c r="GW28" s="135">
        <v>103.02119999999999</v>
      </c>
      <c r="GX28" s="135">
        <v>192.7269</v>
      </c>
      <c r="GY28" s="194">
        <v>495.97410000000002</v>
      </c>
      <c r="GZ28" s="194">
        <v>221.82524000000001</v>
      </c>
      <c r="HA28">
        <v>131.126093</v>
      </c>
      <c r="HB28">
        <v>313.46505400000001</v>
      </c>
      <c r="HC28">
        <v>52.088500000000003</v>
      </c>
      <c r="HD28">
        <v>80.522199999999998</v>
      </c>
      <c r="HE28">
        <v>99.092299999999994</v>
      </c>
      <c r="HF28">
        <v>266.43819999999999</v>
      </c>
      <c r="HG28">
        <v>216.06856500000001</v>
      </c>
      <c r="HH28">
        <v>169.91739999999999</v>
      </c>
      <c r="HI28">
        <v>215.5146</v>
      </c>
      <c r="HJ28">
        <v>169.59039999999999</v>
      </c>
      <c r="HK28">
        <v>109.6664</v>
      </c>
      <c r="HL28">
        <v>231.205456</v>
      </c>
      <c r="HM28">
        <v>82.243731999999994</v>
      </c>
      <c r="HN28">
        <v>59.810744999999997</v>
      </c>
      <c r="HO28">
        <v>253.0239</v>
      </c>
      <c r="HP28">
        <v>161.75399999999999</v>
      </c>
      <c r="HQ28">
        <v>227.2714</v>
      </c>
      <c r="HR28">
        <v>38.328299999999999</v>
      </c>
      <c r="HS28" s="135">
        <v>102.99720000000001</v>
      </c>
      <c r="HT28" s="135">
        <v>243.917</v>
      </c>
      <c r="HU28" s="135">
        <v>124.5732</v>
      </c>
      <c r="HW28" s="135">
        <v>366.2405</v>
      </c>
      <c r="HX28">
        <v>6</v>
      </c>
      <c r="HY28" s="135">
        <v>327.6463</v>
      </c>
      <c r="HZ28">
        <v>0</v>
      </c>
      <c r="IA28" s="135"/>
      <c r="IC28" s="135"/>
      <c r="IE28" s="135"/>
      <c r="IG28" s="135"/>
      <c r="II28" s="135"/>
      <c r="IK28" s="135"/>
      <c r="IM28" s="135"/>
      <c r="IO28" s="135"/>
      <c r="IQ28" s="135"/>
      <c r="IS28" s="135"/>
      <c r="IU28" s="135"/>
      <c r="IW28" s="135"/>
      <c r="IY28" s="135"/>
      <c r="JA28" s="135"/>
      <c r="JB28">
        <v>207.00175300000001</v>
      </c>
      <c r="JC28">
        <v>71.637388000000001</v>
      </c>
      <c r="JD28">
        <v>132.21382700000001</v>
      </c>
      <c r="JE28">
        <v>75.897114000000002</v>
      </c>
      <c r="JF28">
        <v>45.021200999999998</v>
      </c>
      <c r="JG28">
        <v>109.44210099999999</v>
      </c>
      <c r="JH28">
        <v>0</v>
      </c>
      <c r="JI28">
        <v>178.99795399999999</v>
      </c>
      <c r="JJ28">
        <v>19.314737999999998</v>
      </c>
      <c r="JK28">
        <v>189.72832700000001</v>
      </c>
      <c r="JL28">
        <v>191.02229399999999</v>
      </c>
      <c r="JM28">
        <v>284.516459</v>
      </c>
      <c r="JN28">
        <v>40.468394000000004</v>
      </c>
      <c r="JO28">
        <v>177.725921</v>
      </c>
      <c r="JP28">
        <v>118.64823800000001</v>
      </c>
      <c r="JQ28">
        <v>281.495024</v>
      </c>
      <c r="JR28">
        <v>179.570956</v>
      </c>
      <c r="JS28">
        <v>157.30969200000001</v>
      </c>
      <c r="JT28">
        <v>225.29849200000001</v>
      </c>
      <c r="JU28">
        <v>136.472036</v>
      </c>
      <c r="JV28">
        <v>27.547687</v>
      </c>
      <c r="JW28" s="135">
        <v>133.48265499999999</v>
      </c>
      <c r="JX28" s="135">
        <v>217.87362100000001</v>
      </c>
      <c r="JY28" s="135">
        <v>107.010248</v>
      </c>
      <c r="JZ28" s="135">
        <v>173.58077900000001</v>
      </c>
      <c r="KA28" s="135">
        <v>0</v>
      </c>
      <c r="KB28" s="135">
        <v>153.104039</v>
      </c>
      <c r="KC28" s="135">
        <v>48.685623999999997</v>
      </c>
      <c r="KD28" s="135">
        <v>146.76521500000001</v>
      </c>
      <c r="KE28" s="135">
        <v>15.479616</v>
      </c>
      <c r="KF28" s="233">
        <v>573.74620400000003</v>
      </c>
      <c r="KG28" s="233">
        <v>76.139107999999993</v>
      </c>
      <c r="KH28" s="233">
        <v>131.950367</v>
      </c>
      <c r="KI28" s="233">
        <v>216.57622000000001</v>
      </c>
      <c r="KJ28" s="233">
        <v>88.475188000000003</v>
      </c>
      <c r="KK28" s="233">
        <v>293.98259300000001</v>
      </c>
      <c r="KL28" s="233">
        <v>289.08801099999999</v>
      </c>
      <c r="KM28" s="233">
        <v>83.609396000000004</v>
      </c>
      <c r="KN28" s="233">
        <v>45.265706000000002</v>
      </c>
      <c r="KO28" s="233">
        <v>154.36055099999999</v>
      </c>
      <c r="KP28" s="233">
        <v>159.632734</v>
      </c>
      <c r="KQ28" s="233">
        <v>85.679124999999999</v>
      </c>
      <c r="KR28" s="233">
        <v>325.21673099999998</v>
      </c>
      <c r="KS28" s="233">
        <v>133.49292800000001</v>
      </c>
      <c r="KT28" s="233">
        <v>138.22966700000001</v>
      </c>
      <c r="KU28" s="233">
        <v>330.77358700000002</v>
      </c>
      <c r="KV28" s="233">
        <v>121.384304</v>
      </c>
      <c r="KW28" s="233">
        <v>473.59481199999999</v>
      </c>
      <c r="KX28" s="233">
        <v>59.257646000000001</v>
      </c>
      <c r="KY28" s="233">
        <v>536.89540399999998</v>
      </c>
      <c r="KZ28" s="233">
        <v>279.448127</v>
      </c>
      <c r="LA28" s="233">
        <v>138.06200899999999</v>
      </c>
      <c r="LB28" s="233">
        <v>202.34668600000001</v>
      </c>
      <c r="LC28" s="233">
        <v>121.372951</v>
      </c>
      <c r="LD28" s="233">
        <v>62.254581999999999</v>
      </c>
      <c r="LE28" s="233">
        <v>199.679215</v>
      </c>
      <c r="LF28" s="233">
        <v>103.16429599999999</v>
      </c>
      <c r="LG28" s="233">
        <v>61.081172000000002</v>
      </c>
      <c r="LH28" s="233">
        <v>25.177741999999999</v>
      </c>
      <c r="LI28" s="233">
        <v>25.838267999999999</v>
      </c>
      <c r="LJ28" s="233">
        <v>192.573622</v>
      </c>
      <c r="LK28" s="233">
        <v>258.25549899999999</v>
      </c>
      <c r="LL28" s="233">
        <v>125.27448200000001</v>
      </c>
      <c r="LM28" s="233">
        <v>203.62096399999999</v>
      </c>
      <c r="LN28" s="233">
        <v>99.953457999999998</v>
      </c>
      <c r="LO28" s="233">
        <v>199.99991900000001</v>
      </c>
      <c r="LP28" s="233">
        <v>89.470592999999994</v>
      </c>
      <c r="LQ28" s="233">
        <v>48.402402000000002</v>
      </c>
      <c r="LR28" s="233">
        <v>263.50180999999998</v>
      </c>
      <c r="LS28" s="233">
        <v>43.508792</v>
      </c>
      <c r="LT28" s="233">
        <v>240.40361200000001</v>
      </c>
      <c r="LU28" s="233">
        <v>858.92870000000005</v>
      </c>
      <c r="LV28" s="233">
        <v>191.96910600000001</v>
      </c>
      <c r="LW28" s="233">
        <v>168.27412799999999</v>
      </c>
      <c r="LX28" s="233">
        <v>64.755015</v>
      </c>
      <c r="LY28" s="233">
        <v>310.65157900000003</v>
      </c>
      <c r="LZ28" s="233">
        <v>31.106366999999999</v>
      </c>
      <c r="MA28" s="233">
        <v>431.74351799999999</v>
      </c>
      <c r="MB28" s="233">
        <v>562.31184800000005</v>
      </c>
      <c r="MC28" s="233">
        <v>218.85309699999999</v>
      </c>
      <c r="MD28" s="233">
        <v>94.894256999999996</v>
      </c>
      <c r="ME28" s="233">
        <v>182.24513300000001</v>
      </c>
      <c r="MF28" s="233">
        <v>285.78297099999997</v>
      </c>
      <c r="MG28" s="233">
        <v>66.635484000000005</v>
      </c>
      <c r="MH28" s="233">
        <v>211.821597</v>
      </c>
      <c r="MI28" s="233">
        <v>475.32814000000002</v>
      </c>
      <c r="MJ28" s="233">
        <v>151.05869000000001</v>
      </c>
      <c r="MK28" s="233">
        <v>166.47764100000001</v>
      </c>
      <c r="ML28" s="233">
        <v>64.750005999999999</v>
      </c>
      <c r="MM28" s="233">
        <v>50.124679</v>
      </c>
      <c r="MN28" s="233">
        <v>0</v>
      </c>
      <c r="MO28" s="96">
        <v>571.02167499999996</v>
      </c>
      <c r="MP28" s="233">
        <v>206.986535</v>
      </c>
      <c r="MQ28" s="233">
        <v>10.939836</v>
      </c>
      <c r="MR28" s="233">
        <v>173.848692</v>
      </c>
      <c r="MS28" s="233">
        <v>268.31452899999999</v>
      </c>
      <c r="MT28" s="233">
        <v>125.95307</v>
      </c>
      <c r="MU28" s="233">
        <v>277.14099900000002</v>
      </c>
      <c r="MV28" s="233">
        <v>174.112606</v>
      </c>
      <c r="MW28" s="233">
        <v>340.03547500000002</v>
      </c>
      <c r="MX28" s="233">
        <v>254.066248</v>
      </c>
      <c r="MY28" s="233">
        <v>18.151275999999999</v>
      </c>
      <c r="MZ28" s="233">
        <v>273.04334599999999</v>
      </c>
      <c r="NA28" s="233">
        <v>444.90132999999997</v>
      </c>
      <c r="NB28" s="233">
        <v>4.427848</v>
      </c>
      <c r="NC28" s="233">
        <v>344.340259</v>
      </c>
      <c r="ND28" s="233">
        <v>182.57546400000001</v>
      </c>
      <c r="NE28" s="233">
        <v>287.36082800000003</v>
      </c>
      <c r="NF28" s="233">
        <v>43.466169000000001</v>
      </c>
      <c r="NG28" s="233">
        <v>276.28726699999999</v>
      </c>
      <c r="NH28" s="233">
        <v>396.810316</v>
      </c>
      <c r="NI28" s="233">
        <v>331.51693699999998</v>
      </c>
      <c r="NJ28" s="233">
        <v>176.06850800000001</v>
      </c>
      <c r="NK28" s="233">
        <v>156.31646900000001</v>
      </c>
      <c r="NL28" s="233">
        <v>214.23732999999999</v>
      </c>
      <c r="NM28" s="233">
        <v>390.91020400000002</v>
      </c>
      <c r="NN28" s="233">
        <v>380.89275700000002</v>
      </c>
      <c r="NO28" s="233">
        <v>123.962564</v>
      </c>
      <c r="NP28" s="233"/>
      <c r="NQ28" s="233"/>
      <c r="NR28" s="233"/>
      <c r="NS28" s="233"/>
      <c r="NW28" s="230" t="s">
        <v>8</v>
      </c>
      <c r="NX28" s="30">
        <v>35.264064226000009</v>
      </c>
      <c r="NY28" s="30">
        <v>35.864293003</v>
      </c>
      <c r="NZ28" s="30">
        <v>37.774456669000003</v>
      </c>
      <c r="OA28" s="30">
        <v>41.210514021999998</v>
      </c>
      <c r="OB28" s="30">
        <v>42.15637181000001</v>
      </c>
      <c r="OC28" s="30">
        <v>39.610101907000001</v>
      </c>
      <c r="OD28" s="30">
        <v>41.640320531</v>
      </c>
      <c r="OE28" s="30">
        <v>39.614783508999999</v>
      </c>
      <c r="OF28" s="30">
        <v>37.983799339000001</v>
      </c>
      <c r="OG28" s="30">
        <v>44.522894810000011</v>
      </c>
      <c r="OH28" s="30">
        <v>41.527639467</v>
      </c>
      <c r="OI28" s="30">
        <v>41.796919322000008</v>
      </c>
      <c r="OJ28" s="327">
        <f t="shared" si="238"/>
        <v>478.96615861500004</v>
      </c>
      <c r="OK28" s="30">
        <f t="shared" si="239"/>
        <v>108.90281389800002</v>
      </c>
      <c r="OL28" s="30">
        <f t="shared" si="240"/>
        <v>114.849263694</v>
      </c>
      <c r="OM28" s="30">
        <f t="shared" si="241"/>
        <v>121.14134250100001</v>
      </c>
      <c r="ON28" s="30">
        <f t="shared" si="242"/>
        <v>127.84745359900002</v>
      </c>
      <c r="OP28">
        <v>2712</v>
      </c>
    </row>
    <row r="29" spans="2:436">
      <c r="B29" s="482" t="s">
        <v>56</v>
      </c>
      <c r="C29" s="408" t="s">
        <v>57</v>
      </c>
      <c r="D29" s="402">
        <f>L6</f>
        <v>9.4218111572881277E-2</v>
      </c>
      <c r="E29" s="402">
        <f>L5</f>
        <v>0.45615863675730928</v>
      </c>
      <c r="F29" s="402">
        <f>L10</f>
        <v>5.841145848056805E-2</v>
      </c>
      <c r="G29" s="402">
        <f>L9</f>
        <v>0.30244398359798863</v>
      </c>
      <c r="H29" s="402"/>
      <c r="I29" s="402">
        <f>L7</f>
        <v>0</v>
      </c>
      <c r="J29" s="405">
        <f>L4</f>
        <v>0.11303096599725111</v>
      </c>
      <c r="K29" s="36"/>
      <c r="O29" s="96"/>
      <c r="P29" s="189">
        <f t="shared" si="53"/>
        <v>3283</v>
      </c>
      <c r="Q29" s="147" t="s">
        <v>41</v>
      </c>
      <c r="R29" s="124" t="s">
        <v>42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149">
        <v>2934</v>
      </c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100">
        <v>0</v>
      </c>
      <c r="DA29" s="106"/>
      <c r="DB29" s="107"/>
      <c r="DC29" s="107"/>
      <c r="DD29" s="72">
        <v>0</v>
      </c>
      <c r="DE29" s="136">
        <v>171.19307599999999</v>
      </c>
      <c r="DF29" s="136">
        <v>181.690912</v>
      </c>
      <c r="DG29" s="136">
        <v>237.66123200000001</v>
      </c>
      <c r="DH29" s="136">
        <v>142.46416500000001</v>
      </c>
      <c r="DI29" s="136">
        <v>210.793869</v>
      </c>
      <c r="DJ29" s="136">
        <v>59.308369999999996</v>
      </c>
      <c r="DK29" s="136">
        <v>150.55120199999999</v>
      </c>
      <c r="DL29" s="136">
        <v>43.742550999999999</v>
      </c>
      <c r="DM29" s="136">
        <v>0</v>
      </c>
      <c r="DN29" s="136">
        <v>139.584236</v>
      </c>
      <c r="DO29" s="136">
        <v>121.30628299999999</v>
      </c>
      <c r="DP29" s="136">
        <v>214.36733799999999</v>
      </c>
      <c r="DQ29" s="136">
        <v>108.625319</v>
      </c>
      <c r="DR29" s="136">
        <v>99.163239000000004</v>
      </c>
      <c r="DS29" s="136">
        <v>0</v>
      </c>
      <c r="DT29" s="136">
        <v>82.901982000000004</v>
      </c>
      <c r="DU29" s="136">
        <v>156.786067</v>
      </c>
      <c r="DV29" s="136">
        <v>149.42850100000001</v>
      </c>
      <c r="DW29" s="136">
        <v>207.09864999999999</v>
      </c>
      <c r="DX29" s="136">
        <v>102.760136</v>
      </c>
      <c r="DY29" s="136">
        <v>88.284238999999999</v>
      </c>
      <c r="DZ29" s="136">
        <v>150.54757000000001</v>
      </c>
      <c r="EA29" s="136">
        <v>43.326560000000001</v>
      </c>
      <c r="EB29" s="136">
        <v>38.720387000000002</v>
      </c>
      <c r="EC29" s="136">
        <v>141.43956600000001</v>
      </c>
      <c r="ED29" s="136">
        <v>0</v>
      </c>
      <c r="EE29" s="136">
        <v>86.995374999999996</v>
      </c>
      <c r="EF29" s="136">
        <v>157.203033</v>
      </c>
      <c r="EG29">
        <v>0</v>
      </c>
      <c r="EH29">
        <v>0</v>
      </c>
      <c r="EI29" s="152">
        <v>69</v>
      </c>
      <c r="EJ29" s="136">
        <v>227</v>
      </c>
      <c r="EK29" s="136">
        <v>0</v>
      </c>
      <c r="EL29" s="136">
        <v>106</v>
      </c>
      <c r="EM29" s="136">
        <v>161</v>
      </c>
      <c r="EN29" s="136">
        <v>0</v>
      </c>
      <c r="EO29" s="136">
        <v>97</v>
      </c>
      <c r="EP29" s="136">
        <v>93</v>
      </c>
      <c r="EQ29" s="136">
        <v>241</v>
      </c>
      <c r="ER29" s="136">
        <v>247</v>
      </c>
      <c r="ES29" s="136">
        <v>229</v>
      </c>
      <c r="ET29" s="136">
        <v>233</v>
      </c>
      <c r="EU29" s="136">
        <v>155</v>
      </c>
      <c r="EV29" s="136">
        <v>153</v>
      </c>
      <c r="EW29" s="136">
        <v>140</v>
      </c>
      <c r="EX29" s="179">
        <v>176</v>
      </c>
      <c r="EY29" s="179">
        <v>50</v>
      </c>
      <c r="EZ29" s="179">
        <v>128</v>
      </c>
      <c r="FA29" s="179">
        <v>286</v>
      </c>
      <c r="FB29" s="136">
        <v>69</v>
      </c>
      <c r="FC29" s="136">
        <v>187</v>
      </c>
      <c r="FD29" s="136">
        <v>171</v>
      </c>
      <c r="FE29" s="101">
        <v>180</v>
      </c>
      <c r="FF29" s="101">
        <v>157</v>
      </c>
      <c r="FG29" s="101">
        <v>384</v>
      </c>
      <c r="FH29" s="101">
        <v>153</v>
      </c>
      <c r="FI29" s="101">
        <v>47</v>
      </c>
      <c r="FJ29" s="101">
        <v>293</v>
      </c>
      <c r="FK29" s="101">
        <v>258</v>
      </c>
      <c r="FL29" s="101">
        <v>146</v>
      </c>
      <c r="FM29" s="101">
        <v>0</v>
      </c>
      <c r="FN29" s="106">
        <v>247.51044099999999</v>
      </c>
      <c r="FO29" s="106">
        <v>129.29164700000001</v>
      </c>
      <c r="FP29" s="106">
        <v>59.199148000000001</v>
      </c>
      <c r="FQ29" s="106">
        <v>220.10296600000001</v>
      </c>
      <c r="FR29" s="106">
        <v>79.304646000000005</v>
      </c>
      <c r="FS29" s="106">
        <v>184.009626</v>
      </c>
      <c r="FT29" s="106">
        <v>153.429393</v>
      </c>
      <c r="FU29" s="106">
        <v>151.59027499999999</v>
      </c>
      <c r="FV29" s="194">
        <v>189.735961</v>
      </c>
      <c r="FW29" s="194">
        <v>135.274069</v>
      </c>
      <c r="FX29" s="194">
        <v>85.462674000000007</v>
      </c>
      <c r="FY29" s="194">
        <v>228.10471200000001</v>
      </c>
      <c r="FZ29" s="194">
        <v>110.860241</v>
      </c>
      <c r="GA29" s="194">
        <v>426.15752700000002</v>
      </c>
      <c r="GB29" s="194">
        <v>120.74564700000001</v>
      </c>
      <c r="GC29" s="194">
        <v>0</v>
      </c>
      <c r="GD29" s="194">
        <v>243.89418000000001</v>
      </c>
      <c r="GE29" s="194">
        <v>122.19780900000001</v>
      </c>
      <c r="GF29" s="194">
        <v>111.295299</v>
      </c>
      <c r="GG29" s="194">
        <v>113.33151100000001</v>
      </c>
      <c r="GH29" s="194">
        <v>106.630546</v>
      </c>
      <c r="GI29" s="194">
        <v>0</v>
      </c>
      <c r="GJ29" s="194">
        <v>9.76</v>
      </c>
      <c r="GK29" s="194">
        <v>185.53907599999999</v>
      </c>
      <c r="GL29" s="194">
        <v>250.42521500000001</v>
      </c>
      <c r="GM29">
        <v>236.420511</v>
      </c>
      <c r="GN29">
        <v>200.015525</v>
      </c>
      <c r="GO29">
        <v>149.906597</v>
      </c>
      <c r="GP29">
        <v>240.75634400000001</v>
      </c>
      <c r="GQ29">
        <v>117.44881599999999</v>
      </c>
      <c r="GR29" s="136">
        <v>1211.163736</v>
      </c>
      <c r="GS29" s="136">
        <v>0</v>
      </c>
      <c r="GT29" s="136">
        <v>56.994728000000002</v>
      </c>
      <c r="GU29" s="136">
        <v>0</v>
      </c>
      <c r="GV29" s="136">
        <v>37.906522000000002</v>
      </c>
      <c r="GW29" s="136">
        <v>43.305683000000002</v>
      </c>
      <c r="GX29" s="136">
        <v>42.898986999999998</v>
      </c>
      <c r="GY29" s="118">
        <v>203.681186</v>
      </c>
      <c r="GZ29" s="118">
        <v>0</v>
      </c>
      <c r="HA29" s="118">
        <v>38.023646999999997</v>
      </c>
      <c r="HB29" s="118">
        <v>112.43373800000001</v>
      </c>
      <c r="HC29" s="118">
        <v>246.31661500000001</v>
      </c>
      <c r="HD29" s="118">
        <v>174.95057800000001</v>
      </c>
      <c r="HE29" s="118">
        <v>228.758455</v>
      </c>
      <c r="HF29" s="118">
        <v>155.18650500000001</v>
      </c>
      <c r="HG29" s="118">
        <v>103.371718</v>
      </c>
      <c r="HH29" s="118">
        <v>150.337839</v>
      </c>
      <c r="HI29" s="118">
        <v>113.377168</v>
      </c>
      <c r="HJ29" s="118">
        <v>282.356966</v>
      </c>
      <c r="HK29" s="118">
        <v>201.545187</v>
      </c>
      <c r="HL29" s="118">
        <v>143.41789499999999</v>
      </c>
      <c r="HM29" s="118">
        <v>175.63933499999999</v>
      </c>
      <c r="HN29" s="118">
        <v>191.60069899999999</v>
      </c>
      <c r="HO29" s="118">
        <v>82.943307000000004</v>
      </c>
      <c r="HP29" s="118">
        <v>238.510008</v>
      </c>
      <c r="HQ29" s="118">
        <v>148.286339</v>
      </c>
      <c r="HR29" s="118">
        <v>90.964258999999998</v>
      </c>
      <c r="HS29" s="118"/>
      <c r="HT29" s="118"/>
      <c r="HU29" s="118"/>
      <c r="HV29" s="118"/>
      <c r="HW29" s="118">
        <v>134.06607299999999</v>
      </c>
      <c r="HX29" s="118">
        <v>85.458309999999997</v>
      </c>
      <c r="HY29" s="118">
        <v>338.30448899999999</v>
      </c>
      <c r="HZ29" s="118">
        <v>55.526646</v>
      </c>
      <c r="IA29" s="118"/>
      <c r="IB29" s="118"/>
      <c r="IC29" s="118"/>
      <c r="ID29" s="118"/>
      <c r="IE29" s="118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  <c r="IW29" s="118"/>
      <c r="IX29" s="118"/>
      <c r="IY29" s="118"/>
      <c r="IZ29" s="118"/>
      <c r="JA29" s="118"/>
      <c r="JB29">
        <v>99.033084000000002</v>
      </c>
      <c r="JC29">
        <v>0</v>
      </c>
      <c r="JD29">
        <v>169.479028</v>
      </c>
      <c r="JE29">
        <v>296.076122</v>
      </c>
      <c r="JF29">
        <v>127.98030300000001</v>
      </c>
      <c r="JG29">
        <v>57.512861000000001</v>
      </c>
      <c r="JH29">
        <v>0</v>
      </c>
      <c r="JI29">
        <v>57.05</v>
      </c>
      <c r="JJ29">
        <v>0</v>
      </c>
      <c r="JK29">
        <v>75.876515999999995</v>
      </c>
      <c r="JL29">
        <v>252.33424500000001</v>
      </c>
      <c r="JM29">
        <v>255.08283</v>
      </c>
      <c r="JN29">
        <v>282.941213</v>
      </c>
      <c r="JO29">
        <v>53.357953999999999</v>
      </c>
      <c r="JP29">
        <v>0</v>
      </c>
      <c r="JQ29">
        <v>0</v>
      </c>
      <c r="JR29">
        <v>94.894200999999995</v>
      </c>
      <c r="JS29">
        <v>313.03225700000002</v>
      </c>
      <c r="JT29">
        <v>47.469031999999999</v>
      </c>
      <c r="JU29">
        <v>274.79451</v>
      </c>
      <c r="JV29">
        <v>160.96346800000001</v>
      </c>
      <c r="JW29" s="136">
        <v>55.390732</v>
      </c>
      <c r="JX29" s="136">
        <v>542.16323999999997</v>
      </c>
      <c r="JY29" s="136">
        <v>77.629361000000003</v>
      </c>
      <c r="JZ29" s="118">
        <v>155.59611699999999</v>
      </c>
      <c r="KA29" s="118">
        <v>137.68211299999999</v>
      </c>
      <c r="KB29" s="118">
        <v>203.191553</v>
      </c>
      <c r="KC29" s="118">
        <v>114.60516699999999</v>
      </c>
      <c r="KD29" s="118">
        <v>193.64220299999999</v>
      </c>
      <c r="KE29" s="118">
        <v>283.21216900000002</v>
      </c>
      <c r="KF29" s="118">
        <v>111.048514</v>
      </c>
      <c r="KG29" s="118">
        <v>0</v>
      </c>
      <c r="KH29" s="118">
        <v>216.802572</v>
      </c>
      <c r="KI29" s="118">
        <v>242.23959300000001</v>
      </c>
      <c r="KJ29" s="118">
        <v>201.739903</v>
      </c>
      <c r="KK29" s="118">
        <v>29.653784000000002</v>
      </c>
      <c r="KL29" s="118">
        <v>168.97627</v>
      </c>
      <c r="KM29" s="118">
        <v>169.90673799999999</v>
      </c>
      <c r="KN29" s="118">
        <v>120.719611</v>
      </c>
      <c r="KO29" s="118">
        <v>53.095151000000001</v>
      </c>
      <c r="KP29" s="118">
        <v>178.15314599999999</v>
      </c>
      <c r="KQ29" s="118">
        <v>158.68406200000001</v>
      </c>
      <c r="KR29" s="118">
        <v>386.41830399999998</v>
      </c>
      <c r="KS29" s="118">
        <v>126.954427</v>
      </c>
      <c r="KT29" s="118">
        <v>316.58982099999997</v>
      </c>
      <c r="KU29" s="118">
        <v>169.16315599999999</v>
      </c>
      <c r="KV29" s="118">
        <v>115.09607200000001</v>
      </c>
      <c r="KW29" s="118">
        <v>225.06253799999999</v>
      </c>
      <c r="KX29" s="118">
        <v>174.74178800000001</v>
      </c>
      <c r="KY29" s="118">
        <v>275.21082100000001</v>
      </c>
      <c r="KZ29" s="118">
        <v>91.156412000000003</v>
      </c>
      <c r="LA29" s="118">
        <v>291.94395700000001</v>
      </c>
      <c r="LB29" s="118">
        <v>192.48941099999999</v>
      </c>
      <c r="LC29" s="118">
        <v>122.679367</v>
      </c>
      <c r="LD29" s="118">
        <v>290.42657000000003</v>
      </c>
      <c r="LE29" s="118">
        <v>182.76799199999999</v>
      </c>
      <c r="LF29" s="118">
        <v>85.878018999999995</v>
      </c>
      <c r="LG29" s="118">
        <v>163.047732</v>
      </c>
      <c r="LH29" s="118">
        <v>146.33327299999999</v>
      </c>
      <c r="LI29" s="118">
        <v>40.191583000000001</v>
      </c>
      <c r="LJ29" s="118">
        <v>0</v>
      </c>
      <c r="LK29" s="118">
        <v>281.57469500000002</v>
      </c>
      <c r="LL29" s="118">
        <v>109.46656</v>
      </c>
      <c r="LM29" s="118">
        <v>366.38446900000002</v>
      </c>
      <c r="LN29" s="118">
        <v>186.677267</v>
      </c>
      <c r="LO29" s="118">
        <v>81.688350999999997</v>
      </c>
      <c r="LP29" s="118">
        <v>330.59886899999998</v>
      </c>
      <c r="LQ29" s="118">
        <v>136.94808900000001</v>
      </c>
      <c r="LR29" s="118">
        <v>207.72862699999999</v>
      </c>
      <c r="LS29" s="118">
        <v>104.632549</v>
      </c>
      <c r="LT29" s="118">
        <v>144.93884600000001</v>
      </c>
      <c r="LU29" s="118">
        <v>422.33650399999999</v>
      </c>
      <c r="LV29" s="118">
        <v>303.943578</v>
      </c>
      <c r="LW29" s="118">
        <v>293.12316800000002</v>
      </c>
      <c r="LX29" s="118">
        <v>295.07019100000002</v>
      </c>
      <c r="LY29" s="118">
        <v>85.831665000000001</v>
      </c>
      <c r="LZ29" s="118">
        <v>154.955265</v>
      </c>
      <c r="MA29" s="118">
        <v>192.88965300000001</v>
      </c>
      <c r="MB29" s="118">
        <v>68.830608999999995</v>
      </c>
      <c r="MC29" s="118">
        <v>241.37565900000001</v>
      </c>
      <c r="MD29" s="118">
        <v>271.30525899999998</v>
      </c>
      <c r="ME29" s="118">
        <v>311.89090199999998</v>
      </c>
      <c r="MF29" s="118">
        <v>264.21383600000001</v>
      </c>
      <c r="MG29" s="118">
        <v>197.51756</v>
      </c>
      <c r="MH29" s="118">
        <v>318.46389399999998</v>
      </c>
      <c r="MI29" s="118">
        <v>77.901155000000003</v>
      </c>
      <c r="MJ29" s="118">
        <v>0</v>
      </c>
      <c r="MK29" s="118">
        <v>60.384020999999997</v>
      </c>
      <c r="ML29" s="118">
        <v>303.913724</v>
      </c>
      <c r="MM29" s="118">
        <v>203.211941</v>
      </c>
      <c r="MN29" s="118">
        <v>145.97957</v>
      </c>
      <c r="MO29" s="118">
        <v>124.049415</v>
      </c>
      <c r="MP29" s="118">
        <v>493.00194399999998</v>
      </c>
      <c r="MQ29" s="118">
        <v>751.37661300000002</v>
      </c>
      <c r="MR29" s="118">
        <v>177.31528399999999</v>
      </c>
      <c r="MS29" s="118">
        <v>237.243695</v>
      </c>
      <c r="MT29" s="118">
        <v>218.67738199999999</v>
      </c>
      <c r="MU29" s="118">
        <v>557.18671400000005</v>
      </c>
      <c r="MV29" s="118">
        <v>95.740106999999995</v>
      </c>
      <c r="MW29" s="118">
        <v>119.637147</v>
      </c>
      <c r="MX29" s="118">
        <v>356.25161500000002</v>
      </c>
      <c r="MY29" s="118">
        <v>266.97241100000002</v>
      </c>
      <c r="MZ29" s="118">
        <v>146.69081499999999</v>
      </c>
      <c r="NA29" s="118">
        <v>331.00790899999998</v>
      </c>
      <c r="NB29" s="118">
        <v>90.651820999999998</v>
      </c>
      <c r="NC29" s="118">
        <v>259.09402499999999</v>
      </c>
      <c r="ND29" s="118">
        <v>140.33731599999999</v>
      </c>
      <c r="NE29" s="118">
        <v>56.807299999999998</v>
      </c>
      <c r="NF29" s="118">
        <v>215.73425599999999</v>
      </c>
      <c r="NG29" s="118">
        <v>0</v>
      </c>
      <c r="NH29" s="118">
        <v>100.479097</v>
      </c>
      <c r="NI29" s="118">
        <v>171.599222</v>
      </c>
      <c r="NJ29" s="118">
        <v>88.897863000000001</v>
      </c>
      <c r="NK29" s="118">
        <v>231.40875500000001</v>
      </c>
      <c r="NL29" s="118">
        <v>55</v>
      </c>
      <c r="NM29" s="118">
        <v>155</v>
      </c>
      <c r="NN29" s="118">
        <v>0</v>
      </c>
      <c r="NO29" s="118">
        <v>0</v>
      </c>
      <c r="NP29" s="118"/>
      <c r="NQ29" s="118"/>
      <c r="NR29" s="118"/>
      <c r="NS29" s="118"/>
      <c r="NW29" s="358" t="s">
        <v>7</v>
      </c>
      <c r="NX29" s="30">
        <v>100.2480705665522</v>
      </c>
      <c r="NY29" s="30">
        <v>105.42701654679465</v>
      </c>
      <c r="NZ29" s="30">
        <v>125.12418434416043</v>
      </c>
      <c r="OA29" s="30">
        <v>114.12680743942308</v>
      </c>
      <c r="OB29" s="30">
        <v>127.85696035255185</v>
      </c>
      <c r="OC29" s="30">
        <v>127.78258141550501</v>
      </c>
      <c r="OD29" s="30">
        <v>130.8275750455158</v>
      </c>
      <c r="OE29" s="30">
        <v>142.42629648621701</v>
      </c>
      <c r="OF29" s="30">
        <v>128.70295666894467</v>
      </c>
      <c r="OG29" s="30">
        <v>142.59119058699682</v>
      </c>
      <c r="OH29" s="30">
        <v>137.79124020057185</v>
      </c>
      <c r="OI29" s="30">
        <v>140.14089146861306</v>
      </c>
      <c r="OJ29" s="327">
        <f t="shared" si="238"/>
        <v>1523.0457711218464</v>
      </c>
      <c r="OK29" s="30">
        <f t="shared" si="239"/>
        <v>330.7992714575073</v>
      </c>
      <c r="OL29" s="30">
        <f t="shared" si="240"/>
        <v>344.67800833037813</v>
      </c>
      <c r="OM29" s="30">
        <f t="shared" si="241"/>
        <v>367.1079521361354</v>
      </c>
      <c r="ON29" s="30">
        <f t="shared" si="242"/>
        <v>420.5233222561817</v>
      </c>
      <c r="OP29">
        <v>3283</v>
      </c>
    </row>
    <row r="30" spans="2:436" ht="14.25" customHeight="1">
      <c r="B30" s="443"/>
      <c r="C30" s="369" t="s">
        <v>39</v>
      </c>
      <c r="D30" s="119">
        <f>IFERROR(D5/1000/N$6,0)</f>
        <v>1.8470070330366593E-2</v>
      </c>
      <c r="E30" s="119"/>
      <c r="F30" s="119">
        <f>IFERROR(F5/1000/N$10,0)</f>
        <v>4.2654970786872E-3</v>
      </c>
      <c r="G30" s="119"/>
      <c r="H30" s="119"/>
      <c r="I30" s="119"/>
      <c r="J30" s="393">
        <f>IFERROR(J5/1000/N$4,0)</f>
        <v>6.2431624579148042E-3</v>
      </c>
      <c r="P30" s="189">
        <f t="shared" si="53"/>
        <v>4519</v>
      </c>
      <c r="Q30" s="5" t="s">
        <v>7</v>
      </c>
      <c r="R30" s="148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39"/>
      <c r="BL30" s="239"/>
      <c r="BM30" s="239"/>
      <c r="BN30" s="239"/>
      <c r="BO30" s="239"/>
      <c r="BP30" s="239"/>
      <c r="BQ30" s="239"/>
      <c r="BR30" s="239"/>
      <c r="BS30" s="239"/>
      <c r="BT30" s="239"/>
      <c r="BU30" s="239"/>
      <c r="BV30" s="239"/>
      <c r="BW30" s="239"/>
      <c r="BX30" s="239"/>
      <c r="BY30" s="239"/>
      <c r="BZ30" s="65">
        <f>SUM(BZ31:BZ33)</f>
        <v>152.97302525702088</v>
      </c>
      <c r="CA30" s="66">
        <f t="shared" ref="CA30" si="315">SUM(CA31:CA33)</f>
        <v>37.616317686152669</v>
      </c>
      <c r="CB30" s="66">
        <f t="shared" ref="CB30" si="316">SUM(CB31:CB33)</f>
        <v>280.64907687010407</v>
      </c>
      <c r="CC30" s="66">
        <f t="shared" ref="CC30" si="317">SUM(CC31:CC33)</f>
        <v>303.79565101965005</v>
      </c>
      <c r="CD30" s="66">
        <f t="shared" ref="CD30" si="318">SUM(CD31:CD33)</f>
        <v>281.57067665341486</v>
      </c>
      <c r="CE30" s="66">
        <f t="shared" ref="CE30" si="319">SUM(CE31:CE33)</f>
        <v>410.3752177970826</v>
      </c>
      <c r="CF30" s="66">
        <f t="shared" ref="CF30" si="320">SUM(CF31:CF33)</f>
        <v>481.34184927446415</v>
      </c>
      <c r="CG30" s="66">
        <f t="shared" ref="CG30" si="321">SUM(CG31:CG33)</f>
        <v>472.71172558931863</v>
      </c>
      <c r="CH30" s="66">
        <f t="shared" ref="CH30" si="322">SUM(CH31:CH33)</f>
        <v>0</v>
      </c>
      <c r="CI30" s="66">
        <f t="shared" ref="CI30" si="323">SUM(CI31:CI33)</f>
        <v>1093.8664686844406</v>
      </c>
      <c r="CJ30" s="66">
        <f t="shared" ref="CJ30" si="324">SUM(CJ31:CJ33)</f>
        <v>618.22418117191933</v>
      </c>
      <c r="CK30" s="66">
        <f t="shared" ref="CK30" si="325">SUM(CK31:CK33)</f>
        <v>727.11038054986659</v>
      </c>
      <c r="CL30" s="66">
        <f t="shared" ref="CL30" si="326">SUM(CL31:CL33)</f>
        <v>697.91557898974486</v>
      </c>
      <c r="CM30" s="66">
        <f t="shared" ref="CM30" si="327">SUM(CM31:CM33)</f>
        <v>570.20645009464295</v>
      </c>
      <c r="CN30" s="66">
        <f t="shared" ref="CN30" si="328">SUM(CN31:CN33)</f>
        <v>258.29871477824838</v>
      </c>
      <c r="CO30" s="66">
        <f t="shared" ref="CO30" si="329">SUM(CO31:CO33)</f>
        <v>144.19588446358529</v>
      </c>
      <c r="CP30" s="66">
        <f t="shared" ref="CP30" si="330">SUM(CP31:CP33)</f>
        <v>712.97999889265179</v>
      </c>
      <c r="CQ30" s="66">
        <f t="shared" ref="CQ30" si="331">SUM(CQ31:CQ33)</f>
        <v>481.79606631052457</v>
      </c>
      <c r="CR30" s="66">
        <f t="shared" ref="CR30" si="332">SUM(CR31:CR33)</f>
        <v>451.57762443598182</v>
      </c>
      <c r="CS30" s="66">
        <f t="shared" ref="CS30" si="333">SUM(CS31:CS33)</f>
        <v>1643.2437605744558</v>
      </c>
      <c r="CT30" s="66">
        <f t="shared" ref="CT30" si="334">SUM(CT31:CT33)</f>
        <v>310.24559562556902</v>
      </c>
      <c r="CU30" s="66">
        <f t="shared" ref="CU30" si="335">SUM(CU31:CU33)</f>
        <v>673.33208658213289</v>
      </c>
      <c r="CV30" s="66">
        <f t="shared" ref="CV30" si="336">SUM(CV31:CV33)</f>
        <v>163.0040433066616</v>
      </c>
      <c r="CW30" s="66">
        <f t="shared" ref="CW30" si="337">SUM(CW31:CW33)</f>
        <v>247.41142395034521</v>
      </c>
      <c r="CX30" s="66">
        <f t="shared" ref="CX30" si="338">SUM(CX31:CX33)</f>
        <v>569.24980444202129</v>
      </c>
      <c r="CY30" s="66">
        <f t="shared" ref="CY30" si="339">SUM(CY31:CY33)</f>
        <v>351.95</v>
      </c>
      <c r="CZ30" s="66">
        <f t="shared" ref="CZ30" si="340">SUM(CZ31:CZ33)</f>
        <v>196</v>
      </c>
      <c r="DA30" s="66">
        <f t="shared" ref="DA30" si="341">SUM(DA31:DA33)</f>
        <v>520.89675</v>
      </c>
      <c r="DB30" s="66">
        <f t="shared" ref="DB30" si="342">SUM(DB31:DB33)</f>
        <v>733</v>
      </c>
      <c r="DC30" s="70">
        <f t="shared" ref="DC30" si="343">SUM(DC31:DC33)</f>
        <v>19</v>
      </c>
      <c r="DD30" s="67">
        <f t="shared" ref="DD30:DF30" si="344">SUM(DD31:DD33)</f>
        <v>386.32499999999999</v>
      </c>
      <c r="DE30" s="89">
        <f t="shared" si="344"/>
        <v>528.32105000000001</v>
      </c>
      <c r="DF30" s="89">
        <f t="shared" si="344"/>
        <v>770.37200000000007</v>
      </c>
      <c r="DG30" s="67">
        <f t="shared" ref="DG30:EG30" si="345">SUM(DG31:DG33)</f>
        <v>81.545000000000002</v>
      </c>
      <c r="DH30" s="67">
        <f t="shared" si="345"/>
        <v>192.654</v>
      </c>
      <c r="DI30" s="67">
        <f t="shared" si="345"/>
        <v>613</v>
      </c>
      <c r="DJ30" s="67">
        <f t="shared" si="345"/>
        <v>0</v>
      </c>
      <c r="DK30" s="67">
        <f t="shared" si="345"/>
        <v>60</v>
      </c>
      <c r="DL30" s="67">
        <f t="shared" si="345"/>
        <v>244.56700000000001</v>
      </c>
      <c r="DM30" s="67">
        <f t="shared" si="345"/>
        <v>261.87700000000001</v>
      </c>
      <c r="DN30" s="67">
        <f t="shared" si="345"/>
        <v>346.09500000000003</v>
      </c>
      <c r="DO30" s="67">
        <f t="shared" si="345"/>
        <v>591.68650000000002</v>
      </c>
      <c r="DP30" s="67">
        <f t="shared" si="345"/>
        <v>200.4</v>
      </c>
      <c r="DQ30" s="67">
        <f t="shared" si="345"/>
        <v>60</v>
      </c>
      <c r="DR30" s="67">
        <f t="shared" si="345"/>
        <v>2068.6291999999999</v>
      </c>
      <c r="DS30" s="67">
        <f t="shared" si="345"/>
        <v>913.26600000000008</v>
      </c>
      <c r="DT30" s="67">
        <f t="shared" si="345"/>
        <v>435.35550000000001</v>
      </c>
      <c r="DU30" s="67">
        <f t="shared" si="345"/>
        <v>362.1</v>
      </c>
      <c r="DV30" s="67">
        <f t="shared" si="345"/>
        <v>347.69200000000001</v>
      </c>
      <c r="DW30" s="67">
        <f t="shared" si="345"/>
        <v>736.20500000000004</v>
      </c>
      <c r="DX30" s="67">
        <f t="shared" si="345"/>
        <v>30</v>
      </c>
      <c r="DY30" s="67">
        <f t="shared" si="345"/>
        <v>110.8</v>
      </c>
      <c r="DZ30" s="67">
        <f t="shared" si="345"/>
        <v>1763.1115</v>
      </c>
      <c r="EA30" s="67">
        <f t="shared" si="345"/>
        <v>1291.43</v>
      </c>
      <c r="EB30" s="67">
        <f t="shared" si="345"/>
        <v>275.39</v>
      </c>
      <c r="EC30" s="67">
        <f t="shared" si="345"/>
        <v>310.45999999999998</v>
      </c>
      <c r="ED30" s="67">
        <f t="shared" si="345"/>
        <v>119</v>
      </c>
      <c r="EE30" s="67">
        <f t="shared" si="345"/>
        <v>0</v>
      </c>
      <c r="EF30" s="67">
        <f t="shared" si="345"/>
        <v>237.69499999999999</v>
      </c>
      <c r="EG30" s="67">
        <f t="shared" si="345"/>
        <v>174</v>
      </c>
      <c r="EH30" s="94">
        <f t="shared" ref="EH30:FE30" si="346">SUM(EH31:EH33)</f>
        <v>0</v>
      </c>
      <c r="EI30" s="156">
        <f t="shared" si="346"/>
        <v>25</v>
      </c>
      <c r="EJ30" s="94">
        <f t="shared" si="346"/>
        <v>152.80000000000001</v>
      </c>
      <c r="EK30" s="94">
        <f t="shared" si="346"/>
        <v>69.900000000000006</v>
      </c>
      <c r="EL30" s="94">
        <f t="shared" si="346"/>
        <v>0</v>
      </c>
      <c r="EM30" s="94">
        <f t="shared" si="346"/>
        <v>1101.33032</v>
      </c>
      <c r="EN30" s="94">
        <f t="shared" si="346"/>
        <v>987</v>
      </c>
      <c r="EO30" s="94">
        <f t="shared" si="346"/>
        <v>236</v>
      </c>
      <c r="EP30" s="94">
        <f t="shared" si="346"/>
        <v>860</v>
      </c>
      <c r="EQ30" s="94">
        <f t="shared" si="346"/>
        <v>477</v>
      </c>
      <c r="ER30" s="94">
        <f t="shared" si="346"/>
        <v>104</v>
      </c>
      <c r="ES30" s="94">
        <f t="shared" si="346"/>
        <v>50</v>
      </c>
      <c r="ET30" s="94">
        <f t="shared" si="346"/>
        <v>481</v>
      </c>
      <c r="EU30" s="94">
        <f t="shared" si="346"/>
        <v>499</v>
      </c>
      <c r="EV30" s="94">
        <f t="shared" si="346"/>
        <v>301</v>
      </c>
      <c r="EW30" s="94">
        <f t="shared" si="346"/>
        <v>564</v>
      </c>
      <c r="EX30" s="94">
        <f t="shared" si="346"/>
        <v>279</v>
      </c>
      <c r="EY30" s="94">
        <f t="shared" si="346"/>
        <v>358</v>
      </c>
      <c r="EZ30" s="94">
        <f t="shared" si="346"/>
        <v>60</v>
      </c>
      <c r="FA30" s="94">
        <f t="shared" si="346"/>
        <v>284</v>
      </c>
      <c r="FB30" s="94">
        <f t="shared" si="346"/>
        <v>331</v>
      </c>
      <c r="FC30" s="94">
        <f t="shared" si="346"/>
        <v>503</v>
      </c>
      <c r="FD30" s="94">
        <f t="shared" si="346"/>
        <v>346</v>
      </c>
      <c r="FE30" s="94">
        <f t="shared" si="346"/>
        <v>124</v>
      </c>
      <c r="FF30" s="94">
        <f t="shared" ref="FF30:FH30" si="347">SUM(FF31:FF33)</f>
        <v>244</v>
      </c>
      <c r="FG30" s="94">
        <f t="shared" si="347"/>
        <v>981</v>
      </c>
      <c r="FH30" s="94">
        <f t="shared" si="347"/>
        <v>530</v>
      </c>
      <c r="FI30" s="94">
        <f t="shared" ref="FI30:FL30" si="348">SUM(FI31:FI33)</f>
        <v>0</v>
      </c>
      <c r="FJ30" s="94">
        <f t="shared" si="348"/>
        <v>127</v>
      </c>
      <c r="FK30" s="94">
        <f t="shared" si="348"/>
        <v>327</v>
      </c>
      <c r="FL30" s="94">
        <f t="shared" si="348"/>
        <v>350</v>
      </c>
      <c r="FM30" s="94">
        <f t="shared" ref="FM30" si="349">SUM(FM31:FM33)</f>
        <v>434</v>
      </c>
      <c r="FN30" s="94">
        <f>SUM(FN31:FN33)</f>
        <v>120</v>
      </c>
      <c r="FO30" s="94">
        <f>SUM(FO31:FO33)</f>
        <v>1021.1115</v>
      </c>
      <c r="FP30" s="94">
        <f>SUM(FP31:FP33)</f>
        <v>467.57875000000001</v>
      </c>
      <c r="FQ30" s="94">
        <f t="shared" ref="FQ30" si="350">SUM(FQ31:FQ33)</f>
        <v>286.57549999999998</v>
      </c>
      <c r="FR30" s="94">
        <f t="shared" ref="FR30" si="351">SUM(FR31:FR33)</f>
        <v>338.40644999999995</v>
      </c>
      <c r="FS30" s="94">
        <f t="shared" ref="FS30" si="352">SUM(FS31:FS33)</f>
        <v>365.69</v>
      </c>
      <c r="FT30" s="94">
        <f t="shared" ref="FT30" si="353">SUM(FT31:FT33)</f>
        <v>254.96</v>
      </c>
      <c r="FU30" s="94">
        <f t="shared" ref="FU30" si="354">SUM(FU31:FU33)</f>
        <v>150</v>
      </c>
      <c r="FV30" s="94">
        <f t="shared" ref="FV30" si="355">SUM(FV31:FV33)</f>
        <v>913.60663600000009</v>
      </c>
      <c r="FW30" s="94">
        <f t="shared" ref="FW30" si="356">SUM(FW31:FW33)</f>
        <v>1037.85275</v>
      </c>
      <c r="FX30" s="94">
        <f t="shared" ref="FX30" si="357">SUM(FX31:FX33)</f>
        <v>203.12</v>
      </c>
      <c r="FY30" s="94">
        <f t="shared" ref="FY30" si="358">SUM(FY31:FY33)</f>
        <v>345.1</v>
      </c>
      <c r="FZ30" s="94">
        <f t="shared" ref="FZ30" si="359">SUM(FZ31:FZ33)</f>
        <v>633.59050000000002</v>
      </c>
      <c r="GA30" s="94">
        <f t="shared" ref="GA30" si="360">SUM(GA31:GA33)</f>
        <v>280.56</v>
      </c>
      <c r="GB30" s="94">
        <f t="shared" ref="GB30" si="361">SUM(GB31:GB33)</f>
        <v>35</v>
      </c>
      <c r="GC30" s="94">
        <f t="shared" ref="GC30" si="362">SUM(GC31:GC33)</f>
        <v>282.32</v>
      </c>
      <c r="GD30" s="94">
        <f t="shared" ref="GD30:GE30" si="363">SUM(GD31:GD33)</f>
        <v>339.25</v>
      </c>
      <c r="GE30" s="94">
        <f t="shared" si="363"/>
        <v>280</v>
      </c>
      <c r="GF30" s="94">
        <f t="shared" ref="GF30:GG30" si="364">SUM(GF31:GF33)</f>
        <v>161</v>
      </c>
      <c r="GG30" s="94">
        <f t="shared" si="364"/>
        <v>0</v>
      </c>
      <c r="GH30" s="94">
        <f t="shared" ref="GH30" si="365">SUM(GH31:GH33)</f>
        <v>0</v>
      </c>
      <c r="GI30" s="94">
        <f t="shared" ref="GI30" si="366">SUM(GI31:GI33)</f>
        <v>0</v>
      </c>
      <c r="GJ30" s="94">
        <f t="shared" ref="GJ30" si="367">SUM(GJ31:GJ33)</f>
        <v>441</v>
      </c>
      <c r="GK30" s="94">
        <f t="shared" ref="GK30" si="368">SUM(GK31:GK33)</f>
        <v>160</v>
      </c>
      <c r="GL30" s="94">
        <f t="shared" ref="GL30" si="369">SUM(GL31:GL33)</f>
        <v>304</v>
      </c>
      <c r="GM30" s="94">
        <f t="shared" ref="GM30" si="370">SUM(GM31:GM33)</f>
        <v>344</v>
      </c>
      <c r="GN30" s="94">
        <f t="shared" ref="GN30" si="371">SUM(GN31:GN33)</f>
        <v>171</v>
      </c>
      <c r="GO30" s="94">
        <f t="shared" ref="GO30" si="372">SUM(GO31:GO33)</f>
        <v>212</v>
      </c>
      <c r="GP30" s="94">
        <f t="shared" ref="GP30:HW30" si="373">SUM(GP31:GP33)</f>
        <v>0</v>
      </c>
      <c r="GQ30" s="94">
        <f t="shared" ref="GQ30:HU30" si="374">SUM(GQ31:GQ33)</f>
        <v>368</v>
      </c>
      <c r="GR30" s="94">
        <f t="shared" si="373"/>
        <v>604.59482842998057</v>
      </c>
      <c r="GS30" s="94">
        <f t="shared" si="374"/>
        <v>200.88</v>
      </c>
      <c r="GT30" s="94">
        <f t="shared" si="373"/>
        <v>2255.6951444547435</v>
      </c>
      <c r="GU30" s="94">
        <f t="shared" si="374"/>
        <v>378.95788774861467</v>
      </c>
      <c r="GV30" s="94">
        <f t="shared" si="373"/>
        <v>259.74557562026354</v>
      </c>
      <c r="GW30" s="94">
        <f t="shared" si="374"/>
        <v>0</v>
      </c>
      <c r="GX30" s="94">
        <f t="shared" si="373"/>
        <v>452.0452549912697</v>
      </c>
      <c r="GY30" s="94">
        <f t="shared" si="374"/>
        <v>1051.9469563277019</v>
      </c>
      <c r="GZ30" s="94">
        <f t="shared" si="373"/>
        <v>658.03700242742616</v>
      </c>
      <c r="HA30" s="94">
        <f t="shared" si="374"/>
        <v>249.57</v>
      </c>
      <c r="HB30" s="94">
        <f t="shared" si="373"/>
        <v>267.72000000000003</v>
      </c>
      <c r="HC30" s="94">
        <f t="shared" si="374"/>
        <v>535.54179999999997</v>
      </c>
      <c r="HD30" s="94">
        <f t="shared" si="373"/>
        <v>120</v>
      </c>
      <c r="HE30" s="94">
        <f t="shared" si="374"/>
        <v>167.7</v>
      </c>
      <c r="HF30" s="94">
        <f t="shared" si="373"/>
        <v>472.39750000000004</v>
      </c>
      <c r="HG30" s="94">
        <f t="shared" si="374"/>
        <v>507.90699999999998</v>
      </c>
      <c r="HH30" s="94">
        <f t="shared" si="373"/>
        <v>325.2783</v>
      </c>
      <c r="HI30" s="94">
        <f t="shared" si="374"/>
        <v>414.27</v>
      </c>
      <c r="HJ30" s="94">
        <f t="shared" si="373"/>
        <v>431.17774999999995</v>
      </c>
      <c r="HK30" s="94">
        <f t="shared" si="374"/>
        <v>54</v>
      </c>
      <c r="HL30" s="94">
        <f t="shared" si="373"/>
        <v>279.26049999999998</v>
      </c>
      <c r="HM30" s="94">
        <f t="shared" si="374"/>
        <v>502.61649999999997</v>
      </c>
      <c r="HN30" s="94">
        <f t="shared" si="373"/>
        <v>166.18</v>
      </c>
      <c r="HO30" s="94">
        <f t="shared" si="374"/>
        <v>397.27499999999998</v>
      </c>
      <c r="HP30" s="94">
        <f t="shared" si="373"/>
        <v>355.86894999999998</v>
      </c>
      <c r="HQ30" s="94">
        <f t="shared" si="374"/>
        <v>87.27</v>
      </c>
      <c r="HR30" s="94">
        <f t="shared" si="373"/>
        <v>0</v>
      </c>
      <c r="HS30" s="94">
        <f t="shared" si="374"/>
        <v>214.83</v>
      </c>
      <c r="HT30" s="94">
        <f t="shared" si="373"/>
        <v>468.54999999999995</v>
      </c>
      <c r="HU30" s="94">
        <f t="shared" si="374"/>
        <v>269.72000000000003</v>
      </c>
      <c r="HV30" s="94">
        <f t="shared" si="373"/>
        <v>865.12575000000015</v>
      </c>
      <c r="HW30" s="94">
        <f t="shared" si="373"/>
        <v>518.30373317649742</v>
      </c>
      <c r="HX30" s="94">
        <f t="shared" ref="HX30:IY30" si="375">SUM(HX31:HX33)</f>
        <v>3108.0722557905292</v>
      </c>
      <c r="HY30" s="94">
        <f t="shared" si="375"/>
        <v>200</v>
      </c>
      <c r="HZ30" s="94">
        <f t="shared" si="375"/>
        <v>699.50347721101696</v>
      </c>
      <c r="IA30" s="94">
        <f t="shared" si="375"/>
        <v>446.79997321915926</v>
      </c>
      <c r="IB30" s="94">
        <f t="shared" si="375"/>
        <v>1539.2229725399754</v>
      </c>
      <c r="IC30" s="94">
        <f t="shared" si="375"/>
        <v>296.41211011475673</v>
      </c>
      <c r="ID30" s="94">
        <f t="shared" si="375"/>
        <v>1085.6090505224536</v>
      </c>
      <c r="IE30" s="94">
        <f t="shared" si="375"/>
        <v>128.47</v>
      </c>
      <c r="IF30" s="94">
        <f t="shared" si="375"/>
        <v>0</v>
      </c>
      <c r="IG30" s="94">
        <f t="shared" si="375"/>
        <v>538.12768720611757</v>
      </c>
      <c r="IH30" s="94">
        <f t="shared" si="375"/>
        <v>332.32917670551024</v>
      </c>
      <c r="II30" s="94">
        <f t="shared" si="375"/>
        <v>2846.7641641120958</v>
      </c>
      <c r="IJ30" s="94">
        <f t="shared" si="375"/>
        <v>635.53632107126236</v>
      </c>
      <c r="IK30" s="94">
        <f t="shared" si="375"/>
        <v>792.91105492442603</v>
      </c>
      <c r="IL30" s="94">
        <f t="shared" si="375"/>
        <v>232.2</v>
      </c>
      <c r="IM30" s="94">
        <f t="shared" si="375"/>
        <v>230</v>
      </c>
      <c r="IN30" s="94">
        <f t="shared" si="375"/>
        <v>806.64292015755268</v>
      </c>
      <c r="IO30" s="94">
        <f t="shared" si="375"/>
        <v>1279.8123445341528</v>
      </c>
      <c r="IP30" s="94">
        <f t="shared" si="375"/>
        <v>226.02687039665679</v>
      </c>
      <c r="IQ30" s="94">
        <f t="shared" si="375"/>
        <v>791.16359231783645</v>
      </c>
      <c r="IR30" s="94">
        <f t="shared" si="375"/>
        <v>200.97</v>
      </c>
      <c r="IS30" s="94">
        <f t="shared" si="375"/>
        <v>378.93060000000003</v>
      </c>
      <c r="IT30" s="94">
        <f t="shared" si="375"/>
        <v>80</v>
      </c>
      <c r="IU30" s="94">
        <f t="shared" si="375"/>
        <v>247.66200000000001</v>
      </c>
      <c r="IV30" s="94">
        <f t="shared" si="375"/>
        <v>443.68499999999995</v>
      </c>
      <c r="IW30" s="94">
        <f t="shared" si="375"/>
        <v>892.78300000000002</v>
      </c>
      <c r="IX30" s="94">
        <f t="shared" si="375"/>
        <v>1391.15515</v>
      </c>
      <c r="IY30" s="94">
        <f t="shared" si="375"/>
        <v>369.33500000000004</v>
      </c>
      <c r="IZ30" s="94">
        <f t="shared" ref="IZ30:JA30" si="376">SUM(IZ31:IZ33)</f>
        <v>220.2</v>
      </c>
      <c r="JA30" s="94">
        <f t="shared" si="376"/>
        <v>70</v>
      </c>
      <c r="JB30" s="94">
        <f t="shared" ref="JB30:LJ30" si="377">SUM(JB31:JB33)</f>
        <v>0</v>
      </c>
      <c r="JC30" s="94">
        <f t="shared" si="377"/>
        <v>70</v>
      </c>
      <c r="JD30" s="94">
        <f t="shared" si="377"/>
        <v>724.80719017645936</v>
      </c>
      <c r="JE30" s="94">
        <f t="shared" si="377"/>
        <v>1626.5174519472803</v>
      </c>
      <c r="JF30" s="94">
        <f t="shared" si="377"/>
        <v>1249.9454975016222</v>
      </c>
      <c r="JG30" s="94">
        <f t="shared" si="377"/>
        <v>714.77402708452883</v>
      </c>
      <c r="JH30" s="94">
        <f t="shared" si="377"/>
        <v>50</v>
      </c>
      <c r="JI30" s="94">
        <f t="shared" si="377"/>
        <v>341.71723507463651</v>
      </c>
      <c r="JJ30" s="94">
        <f t="shared" si="377"/>
        <v>323.86</v>
      </c>
      <c r="JK30" s="94">
        <f t="shared" si="377"/>
        <v>633.77182256110245</v>
      </c>
      <c r="JL30" s="94">
        <f t="shared" si="377"/>
        <v>931.45985894185765</v>
      </c>
      <c r="JM30" s="94">
        <f t="shared" si="377"/>
        <v>144.94960492497123</v>
      </c>
      <c r="JN30" s="94">
        <f t="shared" si="377"/>
        <v>663.17795505807339</v>
      </c>
      <c r="JO30" s="94">
        <f t="shared" si="377"/>
        <v>200</v>
      </c>
      <c r="JP30" s="94">
        <f t="shared" si="377"/>
        <v>106.96</v>
      </c>
      <c r="JQ30" s="94">
        <f t="shared" si="377"/>
        <v>143.63262605288079</v>
      </c>
      <c r="JR30" s="94">
        <f t="shared" si="377"/>
        <v>135.84562695928287</v>
      </c>
      <c r="JS30" s="94">
        <f t="shared" si="377"/>
        <v>167.60022363697138</v>
      </c>
      <c r="JT30" s="94">
        <f t="shared" si="377"/>
        <v>281.46088008033371</v>
      </c>
      <c r="JU30" s="94">
        <f t="shared" si="377"/>
        <v>842.46</v>
      </c>
      <c r="JV30" s="94">
        <f t="shared" si="377"/>
        <v>0</v>
      </c>
      <c r="JW30" s="94">
        <f t="shared" si="377"/>
        <v>546.41999999999996</v>
      </c>
      <c r="JX30" s="94">
        <f t="shared" si="377"/>
        <v>263.98</v>
      </c>
      <c r="JY30" s="94">
        <f t="shared" si="377"/>
        <v>294.04110000000003</v>
      </c>
      <c r="JZ30" s="94">
        <f t="shared" si="377"/>
        <v>237.62</v>
      </c>
      <c r="KA30" s="94">
        <f t="shared" si="377"/>
        <v>285.30500000000001</v>
      </c>
      <c r="KB30" s="94">
        <f t="shared" si="377"/>
        <v>473.91804500000001</v>
      </c>
      <c r="KC30" s="94">
        <f t="shared" si="377"/>
        <v>144</v>
      </c>
      <c r="KD30" s="94">
        <f t="shared" si="377"/>
        <v>129</v>
      </c>
      <c r="KE30" s="94">
        <f t="shared" si="377"/>
        <v>0</v>
      </c>
      <c r="KF30" s="94">
        <f t="shared" si="377"/>
        <v>894.33269999999993</v>
      </c>
      <c r="KG30" s="94">
        <f t="shared" si="377"/>
        <v>828.49299999999994</v>
      </c>
      <c r="KH30" s="94">
        <f t="shared" si="377"/>
        <v>448.16240000000005</v>
      </c>
      <c r="KI30" s="94">
        <f t="shared" si="377"/>
        <v>265.33999999999997</v>
      </c>
      <c r="KJ30" s="94">
        <f t="shared" si="377"/>
        <v>280</v>
      </c>
      <c r="KK30" s="94">
        <f t="shared" si="377"/>
        <v>1585.0010000000002</v>
      </c>
      <c r="KL30" s="94">
        <f t="shared" si="377"/>
        <v>330.64299999999997</v>
      </c>
      <c r="KM30" s="94">
        <f t="shared" si="377"/>
        <v>264.35720000000003</v>
      </c>
      <c r="KN30" s="94">
        <f t="shared" si="377"/>
        <v>666.84</v>
      </c>
      <c r="KO30" s="94">
        <f t="shared" si="377"/>
        <v>122.066</v>
      </c>
      <c r="KP30" s="94">
        <f t="shared" si="377"/>
        <v>392.64</v>
      </c>
      <c r="KQ30" s="94">
        <f t="shared" si="377"/>
        <v>100</v>
      </c>
      <c r="KR30" s="94">
        <f t="shared" si="377"/>
        <v>273.23399999999998</v>
      </c>
      <c r="KS30" s="94">
        <f t="shared" si="377"/>
        <v>422.20100000000002</v>
      </c>
      <c r="KT30" s="94">
        <f t="shared" si="377"/>
        <v>253.78200000000001</v>
      </c>
      <c r="KU30" s="94">
        <f t="shared" si="377"/>
        <v>726.86900000000003</v>
      </c>
      <c r="KV30" s="94">
        <f t="shared" si="377"/>
        <v>425.71949999999998</v>
      </c>
      <c r="KW30" s="94">
        <f t="shared" si="377"/>
        <v>408.45</v>
      </c>
      <c r="KX30" s="94">
        <f t="shared" si="377"/>
        <v>200</v>
      </c>
      <c r="KY30" s="94">
        <f t="shared" si="377"/>
        <v>214.58100000000002</v>
      </c>
      <c r="KZ30" s="94">
        <f t="shared" si="377"/>
        <v>342.755</v>
      </c>
      <c r="LA30" s="94">
        <f t="shared" si="377"/>
        <v>114.34100000000001</v>
      </c>
      <c r="LB30" s="94">
        <f t="shared" si="377"/>
        <v>210.809</v>
      </c>
      <c r="LC30" s="94">
        <f t="shared" si="377"/>
        <v>480.77100000000002</v>
      </c>
      <c r="LD30" s="94">
        <f t="shared" si="377"/>
        <v>928.4366</v>
      </c>
      <c r="LE30" s="94">
        <f t="shared" si="377"/>
        <v>105</v>
      </c>
      <c r="LF30" s="94">
        <f t="shared" si="377"/>
        <v>461.81330000000003</v>
      </c>
      <c r="LG30" s="94">
        <f t="shared" si="377"/>
        <v>1587.056</v>
      </c>
      <c r="LH30" s="94">
        <f t="shared" si="377"/>
        <v>119.76474999999999</v>
      </c>
      <c r="LI30" s="94">
        <f t="shared" si="377"/>
        <v>97.27</v>
      </c>
      <c r="LJ30" s="94">
        <f t="shared" si="377"/>
        <v>97</v>
      </c>
      <c r="LK30" s="94">
        <f t="shared" ref="LK30:NS30" si="378">SUM(LK31:LK33)</f>
        <v>1180.844973</v>
      </c>
      <c r="LL30" s="94">
        <f t="shared" si="378"/>
        <v>0</v>
      </c>
      <c r="LM30" s="94">
        <f t="shared" si="378"/>
        <v>813.42548599999998</v>
      </c>
      <c r="LN30" s="94">
        <f t="shared" si="378"/>
        <v>527.99681600000008</v>
      </c>
      <c r="LO30" s="94">
        <f t="shared" si="378"/>
        <v>148.23596699999999</v>
      </c>
      <c r="LP30" s="94">
        <f t="shared" si="378"/>
        <v>169.208</v>
      </c>
      <c r="LQ30" s="94">
        <f t="shared" si="378"/>
        <v>465.90417199999996</v>
      </c>
      <c r="LR30" s="94">
        <f t="shared" si="378"/>
        <v>472.22018000000003</v>
      </c>
      <c r="LS30" s="94">
        <f t="shared" si="378"/>
        <v>26.728259999999999</v>
      </c>
      <c r="LT30" s="94">
        <f t="shared" si="378"/>
        <v>356.08031999999997</v>
      </c>
      <c r="LU30" s="94">
        <f t="shared" si="378"/>
        <v>1132.3111900000001</v>
      </c>
      <c r="LV30" s="94">
        <f>SUM(LV31:LV33)</f>
        <v>269.03640300000001</v>
      </c>
      <c r="LW30" s="94">
        <f>SUM(LW31:LW33)</f>
        <v>427.57846699999999</v>
      </c>
      <c r="LX30" s="94">
        <f>SUM(LX31:LX33)</f>
        <v>345.22352799999999</v>
      </c>
      <c r="LY30" s="94">
        <f>SUM(LY31:LY33)</f>
        <v>761.68803000000003</v>
      </c>
      <c r="LZ30" s="94">
        <f>SUM(LZ31:LZ33)</f>
        <v>351.63207499999999</v>
      </c>
      <c r="MA30" s="94">
        <f t="shared" si="378"/>
        <v>507.65800000000002</v>
      </c>
      <c r="MB30" s="94">
        <f t="shared" si="378"/>
        <v>286.47492899999997</v>
      </c>
      <c r="MC30" s="94">
        <f t="shared" si="378"/>
        <v>622.987617</v>
      </c>
      <c r="MD30" s="94">
        <f t="shared" si="378"/>
        <v>529.18293599999993</v>
      </c>
      <c r="ME30" s="94">
        <f t="shared" si="378"/>
        <v>217.9</v>
      </c>
      <c r="MF30" s="94">
        <f t="shared" si="378"/>
        <v>137</v>
      </c>
      <c r="MG30" s="94">
        <f t="shared" si="378"/>
        <v>5</v>
      </c>
      <c r="MH30" s="94">
        <f t="shared" si="378"/>
        <v>591.28091200000006</v>
      </c>
      <c r="MI30" s="94">
        <f t="shared" si="378"/>
        <v>332.9</v>
      </c>
      <c r="MJ30" s="94">
        <f t="shared" si="378"/>
        <v>516.47379100000001</v>
      </c>
      <c r="MK30" s="94">
        <f t="shared" si="378"/>
        <v>523.68752500000005</v>
      </c>
      <c r="ML30" s="94">
        <f t="shared" si="378"/>
        <v>490.49630000000002</v>
      </c>
      <c r="MM30" s="94">
        <f t="shared" si="378"/>
        <v>83.42</v>
      </c>
      <c r="MN30" s="94">
        <f>SUM(MN31:MN33)</f>
        <v>339.3</v>
      </c>
      <c r="MO30" s="94">
        <f t="shared" si="378"/>
        <v>637</v>
      </c>
      <c r="MP30" s="94">
        <f t="shared" si="378"/>
        <v>303</v>
      </c>
      <c r="MQ30" s="94">
        <f t="shared" si="378"/>
        <v>328</v>
      </c>
      <c r="MR30" s="94">
        <f t="shared" si="378"/>
        <v>306</v>
      </c>
      <c r="MS30" s="94">
        <f t="shared" si="378"/>
        <v>666</v>
      </c>
      <c r="MT30" s="94">
        <f t="shared" si="378"/>
        <v>458</v>
      </c>
      <c r="MU30" s="94">
        <f t="shared" si="378"/>
        <v>8</v>
      </c>
      <c r="MV30" s="94">
        <f t="shared" si="378"/>
        <v>266</v>
      </c>
      <c r="MW30" s="94">
        <f t="shared" si="378"/>
        <v>118</v>
      </c>
      <c r="MX30" s="94">
        <f t="shared" si="378"/>
        <v>364</v>
      </c>
      <c r="MY30" s="94">
        <f t="shared" si="378"/>
        <v>187</v>
      </c>
      <c r="MZ30" s="94">
        <f t="shared" si="378"/>
        <v>743</v>
      </c>
      <c r="NA30" s="94">
        <f t="shared" si="378"/>
        <v>515</v>
      </c>
      <c r="NB30" s="94">
        <f t="shared" si="378"/>
        <v>64</v>
      </c>
      <c r="NC30" s="94">
        <f t="shared" si="378"/>
        <v>582</v>
      </c>
      <c r="ND30" s="94">
        <f t="shared" si="378"/>
        <v>607</v>
      </c>
      <c r="NE30" s="94">
        <f t="shared" si="378"/>
        <v>432</v>
      </c>
      <c r="NF30" s="94">
        <f t="shared" si="378"/>
        <v>932</v>
      </c>
      <c r="NG30" s="94">
        <f t="shared" si="378"/>
        <v>201</v>
      </c>
      <c r="NH30" s="94">
        <f t="shared" si="378"/>
        <v>1040</v>
      </c>
      <c r="NI30" s="94">
        <f t="shared" si="378"/>
        <v>171</v>
      </c>
      <c r="NJ30" s="94">
        <f t="shared" si="378"/>
        <v>294</v>
      </c>
      <c r="NK30" s="94">
        <f t="shared" si="378"/>
        <v>336</v>
      </c>
      <c r="NL30" s="94">
        <f t="shared" si="378"/>
        <v>556</v>
      </c>
      <c r="NM30" s="94">
        <f t="shared" si="378"/>
        <v>136</v>
      </c>
      <c r="NN30" s="94">
        <f t="shared" si="378"/>
        <v>192</v>
      </c>
      <c r="NO30" s="94">
        <f t="shared" si="378"/>
        <v>174</v>
      </c>
      <c r="NP30" s="94">
        <f t="shared" si="378"/>
        <v>300</v>
      </c>
      <c r="NQ30" s="94">
        <f t="shared" si="378"/>
        <v>31</v>
      </c>
      <c r="NR30" s="94">
        <f t="shared" si="378"/>
        <v>0</v>
      </c>
      <c r="NS30" s="94">
        <f t="shared" si="378"/>
        <v>0</v>
      </c>
      <c r="OJ30" s="313">
        <f>OJ23*90%-OJ14</f>
        <v>1.98289693523202</v>
      </c>
      <c r="OP30" s="94">
        <f t="shared" ref="OP30:OR30" si="379">SUM(OP31:OP33)</f>
        <v>4519</v>
      </c>
      <c r="OQ30" s="94">
        <f t="shared" si="379"/>
        <v>0</v>
      </c>
      <c r="OR30" s="94">
        <f t="shared" si="379"/>
        <v>0</v>
      </c>
      <c r="OS30" s="94">
        <f t="shared" ref="OP30:PT30" si="380">SUM(OS31:OS33)</f>
        <v>0</v>
      </c>
      <c r="OT30" s="94">
        <f t="shared" si="380"/>
        <v>0</v>
      </c>
      <c r="OU30" s="94">
        <f t="shared" si="380"/>
        <v>0</v>
      </c>
      <c r="OV30" s="94">
        <f t="shared" si="380"/>
        <v>0</v>
      </c>
      <c r="OW30" s="94">
        <f t="shared" si="380"/>
        <v>0</v>
      </c>
      <c r="OX30" s="94">
        <f t="shared" si="380"/>
        <v>0</v>
      </c>
      <c r="OY30" s="94">
        <f t="shared" si="380"/>
        <v>0</v>
      </c>
      <c r="OZ30" s="94">
        <f t="shared" si="380"/>
        <v>0</v>
      </c>
      <c r="PA30" s="94">
        <f t="shared" si="380"/>
        <v>0</v>
      </c>
      <c r="PB30" s="94">
        <f t="shared" si="380"/>
        <v>0</v>
      </c>
      <c r="PC30" s="94">
        <f t="shared" si="380"/>
        <v>0</v>
      </c>
      <c r="PD30" s="94">
        <f t="shared" si="380"/>
        <v>0</v>
      </c>
      <c r="PE30" s="94">
        <f t="shared" si="380"/>
        <v>0</v>
      </c>
      <c r="PF30" s="94">
        <f t="shared" si="380"/>
        <v>0</v>
      </c>
      <c r="PG30" s="94">
        <f t="shared" si="380"/>
        <v>0</v>
      </c>
      <c r="PH30" s="94">
        <f t="shared" si="380"/>
        <v>0</v>
      </c>
      <c r="PI30" s="94">
        <f t="shared" si="380"/>
        <v>0</v>
      </c>
      <c r="PJ30" s="94">
        <f t="shared" si="380"/>
        <v>0</v>
      </c>
      <c r="PK30" s="94">
        <f t="shared" si="380"/>
        <v>0</v>
      </c>
      <c r="PL30" s="94">
        <f t="shared" si="380"/>
        <v>0</v>
      </c>
      <c r="PM30" s="94">
        <f t="shared" si="380"/>
        <v>0</v>
      </c>
      <c r="PN30" s="94">
        <f t="shared" si="380"/>
        <v>0</v>
      </c>
      <c r="PO30" s="94">
        <f t="shared" si="380"/>
        <v>0</v>
      </c>
      <c r="PP30" s="94">
        <f t="shared" si="380"/>
        <v>0</v>
      </c>
      <c r="PQ30" s="94">
        <f t="shared" si="380"/>
        <v>0</v>
      </c>
      <c r="PR30" s="94">
        <f t="shared" si="380"/>
        <v>0</v>
      </c>
      <c r="PS30" s="94">
        <f t="shared" si="380"/>
        <v>0</v>
      </c>
      <c r="PT30" s="94">
        <f t="shared" si="380"/>
        <v>0</v>
      </c>
    </row>
    <row r="31" spans="2:436">
      <c r="B31" s="443"/>
      <c r="C31" s="374" t="s">
        <v>40</v>
      </c>
      <c r="D31" s="119">
        <f>IFERROR(D6/1000/N$6,0)</f>
        <v>1.4734550488269979E-2</v>
      </c>
      <c r="E31" s="119"/>
      <c r="F31" s="119">
        <f>IFERROR(F6/1000/N$10,0)</f>
        <v>3.7756112020743367E-2</v>
      </c>
      <c r="G31" s="119">
        <f>IFERROR(G6/1000/N$9,0)</f>
        <v>0.1371646897876837</v>
      </c>
      <c r="H31" s="119"/>
      <c r="I31" s="119"/>
      <c r="J31" s="394">
        <f>IFERROR(J6/1000/N$4,0)</f>
        <v>4.8391517502179585E-2</v>
      </c>
      <c r="P31" s="189">
        <f t="shared" si="53"/>
        <v>330</v>
      </c>
      <c r="Q31" s="144" t="s">
        <v>38</v>
      </c>
      <c r="R31" s="58" t="s">
        <v>39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108">
        <v>30.753612228520904</v>
      </c>
      <c r="CA31" s="108">
        <v>7.5623636627510411</v>
      </c>
      <c r="CB31" s="108">
        <v>56.421534893841731</v>
      </c>
      <c r="CC31" s="108">
        <v>61.074909334321205</v>
      </c>
      <c r="CD31" s="108">
        <v>56.606812803579132</v>
      </c>
      <c r="CE31" s="108">
        <v>82.501606378782483</v>
      </c>
      <c r="CF31" s="108">
        <v>96.76869864523141</v>
      </c>
      <c r="CG31" s="108">
        <v>95.033703361904756</v>
      </c>
      <c r="CH31" s="108">
        <v>0</v>
      </c>
      <c r="CI31" s="108">
        <v>219.91030870430421</v>
      </c>
      <c r="CJ31" s="108">
        <v>124.28744679731338</v>
      </c>
      <c r="CK31" s="108">
        <v>146.17786798157454</v>
      </c>
      <c r="CL31" s="108">
        <v>140.30856125406444</v>
      </c>
      <c r="CM31" s="108">
        <v>114.63398875029617</v>
      </c>
      <c r="CN31" s="108">
        <v>51.928230484223818</v>
      </c>
      <c r="CO31" s="108">
        <v>28.989060707212328</v>
      </c>
      <c r="CP31" s="108">
        <v>143.33710388348041</v>
      </c>
      <c r="CQ31" s="108">
        <v>96.860014186459139</v>
      </c>
      <c r="CR31" s="108">
        <v>90.784915377382461</v>
      </c>
      <c r="CS31" s="108">
        <v>330.35681503150408</v>
      </c>
      <c r="CT31" s="108">
        <v>62.371602623694251</v>
      </c>
      <c r="CU31" s="108">
        <v>135.36630956324365</v>
      </c>
      <c r="CV31" s="108">
        <v>32.770242538587851</v>
      </c>
      <c r="CW31" s="108">
        <v>49.739455569313783</v>
      </c>
      <c r="CX31" s="108">
        <v>114.44166523841297</v>
      </c>
      <c r="CY31" s="108">
        <v>28.95</v>
      </c>
      <c r="CZ31" s="108">
        <v>0</v>
      </c>
      <c r="DA31" s="108">
        <v>84.896749999999997</v>
      </c>
      <c r="DB31" s="108">
        <v>0</v>
      </c>
      <c r="DC31" s="108">
        <v>0</v>
      </c>
      <c r="DD31" s="109">
        <v>29.324999999999999</v>
      </c>
      <c r="DE31" s="120">
        <v>140.32105000000001</v>
      </c>
      <c r="DF31" s="120">
        <v>324.37200000000001</v>
      </c>
      <c r="DG31" s="120">
        <v>4.5449999999999999</v>
      </c>
      <c r="DH31" s="120">
        <v>81.653999999999996</v>
      </c>
      <c r="DI31" s="120">
        <v>0</v>
      </c>
      <c r="DJ31" s="120">
        <v>0</v>
      </c>
      <c r="DK31" s="120">
        <v>0</v>
      </c>
      <c r="DL31" s="120">
        <v>49.966999999999999</v>
      </c>
      <c r="DM31" s="120">
        <v>18.477</v>
      </c>
      <c r="DN31" s="120">
        <v>7.7949999999999999</v>
      </c>
      <c r="DO31" s="120">
        <v>295.18650000000002</v>
      </c>
      <c r="DP31" s="120">
        <v>0</v>
      </c>
      <c r="DQ31" s="120">
        <v>0</v>
      </c>
      <c r="DR31" s="120">
        <v>1794.5291999999999</v>
      </c>
      <c r="DS31" s="120">
        <v>632.46600000000001</v>
      </c>
      <c r="DT31" s="120">
        <v>114.0655</v>
      </c>
      <c r="DU31" s="120">
        <v>60</v>
      </c>
      <c r="DV31" s="120">
        <v>167.49199999999999</v>
      </c>
      <c r="DW31" s="120">
        <v>54.204999999999998</v>
      </c>
      <c r="DX31" s="120">
        <v>0</v>
      </c>
      <c r="DY31" s="120">
        <v>0</v>
      </c>
      <c r="DZ31" s="120">
        <v>864.33150000000001</v>
      </c>
      <c r="EA31" s="120">
        <v>1090.23</v>
      </c>
      <c r="EB31" s="120">
        <v>38.69</v>
      </c>
      <c r="EC31" s="120">
        <v>80.760000000000005</v>
      </c>
      <c r="ED31">
        <v>0</v>
      </c>
      <c r="EE31">
        <v>0</v>
      </c>
      <c r="EF31" s="120">
        <v>80.694999999999993</v>
      </c>
      <c r="EG31">
        <v>30</v>
      </c>
      <c r="EH31">
        <v>0</v>
      </c>
      <c r="EI31" s="153">
        <v>0</v>
      </c>
      <c r="EJ31" s="120">
        <v>0</v>
      </c>
      <c r="EK31" s="120">
        <v>0</v>
      </c>
      <c r="EL31" s="120">
        <v>0</v>
      </c>
      <c r="EM31" s="120">
        <v>815.33032000000003</v>
      </c>
      <c r="EN31" s="101">
        <v>775</v>
      </c>
      <c r="EO31" s="101">
        <v>0</v>
      </c>
      <c r="EP31" s="101">
        <v>198</v>
      </c>
      <c r="EQ31" s="101">
        <v>145</v>
      </c>
      <c r="ER31" s="101">
        <v>0</v>
      </c>
      <c r="ES31" s="101">
        <v>0</v>
      </c>
      <c r="ET31" s="101">
        <v>239</v>
      </c>
      <c r="EU31" s="101">
        <v>154</v>
      </c>
      <c r="EV31" s="101">
        <v>136</v>
      </c>
      <c r="EW31" s="101">
        <v>151</v>
      </c>
      <c r="EX31" s="101">
        <v>116</v>
      </c>
      <c r="EY31" s="101">
        <v>192</v>
      </c>
      <c r="EZ31" s="101">
        <v>0</v>
      </c>
      <c r="FA31" s="101">
        <v>0</v>
      </c>
      <c r="FB31" s="101">
        <v>110</v>
      </c>
      <c r="FC31" s="101">
        <v>333</v>
      </c>
      <c r="FD31" s="101">
        <v>176</v>
      </c>
      <c r="FE31" s="101">
        <v>0</v>
      </c>
      <c r="FF31" s="101">
        <v>103</v>
      </c>
      <c r="FG31" s="101">
        <v>820</v>
      </c>
      <c r="FH31" s="101">
        <v>289</v>
      </c>
      <c r="FI31" s="101">
        <v>0</v>
      </c>
      <c r="FJ31" s="101">
        <v>60</v>
      </c>
      <c r="FK31" s="101">
        <v>101</v>
      </c>
      <c r="FL31" s="101">
        <v>172</v>
      </c>
      <c r="FM31" s="101">
        <v>292</v>
      </c>
      <c r="FN31" s="194">
        <v>0</v>
      </c>
      <c r="FO31" s="194">
        <v>759.38149999999996</v>
      </c>
      <c r="FP31" s="194">
        <v>294.17874999999998</v>
      </c>
      <c r="FQ31" s="194">
        <v>84.165499999999994</v>
      </c>
      <c r="FR31" s="194">
        <v>155.23644999999999</v>
      </c>
      <c r="FS31" s="194">
        <v>0</v>
      </c>
      <c r="FT31" s="194">
        <v>0</v>
      </c>
      <c r="FU31" s="194">
        <v>0</v>
      </c>
      <c r="FV31" s="194">
        <v>495.50663600000001</v>
      </c>
      <c r="FW31" s="194">
        <v>803.67274999999995</v>
      </c>
      <c r="FX31" s="194">
        <v>0</v>
      </c>
      <c r="FY31" s="194">
        <v>0</v>
      </c>
      <c r="FZ31" s="194">
        <v>365.13049999999998</v>
      </c>
      <c r="GA31" s="194">
        <v>109.83</v>
      </c>
      <c r="GB31" s="194">
        <v>0</v>
      </c>
      <c r="GC31" s="194">
        <v>11.16</v>
      </c>
      <c r="GD31" s="194">
        <v>0</v>
      </c>
      <c r="GE31">
        <v>65</v>
      </c>
      <c r="GF31">
        <v>0</v>
      </c>
      <c r="GJ31">
        <v>152</v>
      </c>
      <c r="GK31">
        <v>19</v>
      </c>
      <c r="GL31">
        <v>109</v>
      </c>
      <c r="GM31">
        <v>39</v>
      </c>
      <c r="GQ31">
        <v>78</v>
      </c>
      <c r="GR31" s="194">
        <v>382.01482842998053</v>
      </c>
      <c r="GS31" s="194">
        <v>0</v>
      </c>
      <c r="GT31" s="194">
        <v>2088.4951444547437</v>
      </c>
      <c r="GU31" s="194">
        <v>212.61788774861466</v>
      </c>
      <c r="GV31" s="194">
        <v>35.875575620263518</v>
      </c>
      <c r="GW31" s="194">
        <v>0</v>
      </c>
      <c r="GX31" s="194">
        <v>295.12525499126968</v>
      </c>
      <c r="GY31" s="194">
        <v>606.49695632770181</v>
      </c>
      <c r="GZ31" s="194">
        <v>309.53700242742616</v>
      </c>
      <c r="HA31" s="194">
        <v>0</v>
      </c>
      <c r="HB31" s="194">
        <v>0</v>
      </c>
      <c r="HC31" s="194">
        <v>365.93180000000001</v>
      </c>
      <c r="HD31" s="194">
        <v>0</v>
      </c>
      <c r="HE31" s="194">
        <v>0</v>
      </c>
      <c r="HF31" s="194">
        <v>300.29750000000001</v>
      </c>
      <c r="HG31" s="120">
        <v>99.236999999999995</v>
      </c>
      <c r="HH31" s="194">
        <v>218.64830000000001</v>
      </c>
      <c r="HI31" s="194">
        <v>0</v>
      </c>
      <c r="HJ31" s="194">
        <v>247.27775</v>
      </c>
      <c r="HK31" s="194">
        <v>0</v>
      </c>
      <c r="HL31">
        <v>145.2405</v>
      </c>
      <c r="HM31">
        <v>251.9965</v>
      </c>
      <c r="HN31">
        <v>0</v>
      </c>
      <c r="HO31">
        <v>70.364999999999995</v>
      </c>
      <c r="HP31">
        <v>195.47895</v>
      </c>
      <c r="HQ31">
        <v>0</v>
      </c>
      <c r="HR31">
        <v>0</v>
      </c>
      <c r="HS31">
        <v>0</v>
      </c>
      <c r="HT31">
        <v>385.2</v>
      </c>
      <c r="HU31">
        <v>0</v>
      </c>
      <c r="HV31">
        <v>297.70575000000002</v>
      </c>
      <c r="HW31">
        <v>36.113733176497384</v>
      </c>
      <c r="HX31">
        <v>2912.1922557905291</v>
      </c>
      <c r="HY31">
        <v>0</v>
      </c>
      <c r="HZ31">
        <v>591.97347721101698</v>
      </c>
      <c r="IA31">
        <v>211.84165121915927</v>
      </c>
      <c r="IB31">
        <v>1258.1229725399755</v>
      </c>
      <c r="IC31">
        <v>196.41211011475673</v>
      </c>
      <c r="ID31">
        <v>858.13905052245366</v>
      </c>
      <c r="IE31">
        <v>0</v>
      </c>
      <c r="IF31">
        <v>0</v>
      </c>
      <c r="IG31">
        <v>181.63768720611753</v>
      </c>
      <c r="IH31" s="120">
        <v>136.40917670551028</v>
      </c>
      <c r="II31">
        <v>2688.4241641120957</v>
      </c>
      <c r="IJ31">
        <v>397.07632107126233</v>
      </c>
      <c r="IK31">
        <v>411.37105492442612</v>
      </c>
      <c r="IL31">
        <v>0</v>
      </c>
      <c r="IM31">
        <v>0</v>
      </c>
      <c r="IN31">
        <v>528.82292015755274</v>
      </c>
      <c r="IO31">
        <v>987.63234453415282</v>
      </c>
      <c r="IP31">
        <v>67.416870396656776</v>
      </c>
      <c r="IQ31">
        <v>405.69359231783636</v>
      </c>
      <c r="IR31">
        <v>0</v>
      </c>
      <c r="IS31">
        <v>127.8706</v>
      </c>
      <c r="IT31">
        <v>0</v>
      </c>
      <c r="IU31">
        <v>86.581999999999994</v>
      </c>
      <c r="IV31">
        <v>65.834999999999994</v>
      </c>
      <c r="IW31">
        <v>722.39300000000003</v>
      </c>
      <c r="IX31">
        <v>985.91515000000004</v>
      </c>
      <c r="IY31">
        <v>56.725000000000001</v>
      </c>
      <c r="IZ31">
        <v>0</v>
      </c>
      <c r="JA31">
        <v>0</v>
      </c>
      <c r="JB31">
        <v>0</v>
      </c>
      <c r="JC31">
        <v>0</v>
      </c>
      <c r="JD31">
        <v>660.77719017645938</v>
      </c>
      <c r="JE31">
        <v>1446.1374519472802</v>
      </c>
      <c r="JF31">
        <v>1068.2454975016221</v>
      </c>
      <c r="JG31">
        <v>526.12402708452885</v>
      </c>
      <c r="JH31">
        <v>0</v>
      </c>
      <c r="JI31">
        <v>227.60723507463649</v>
      </c>
      <c r="JJ31">
        <v>0</v>
      </c>
      <c r="JK31">
        <v>351.07182256110246</v>
      </c>
      <c r="JL31">
        <v>517.1498589418577</v>
      </c>
      <c r="JM31">
        <v>25.869604924971238</v>
      </c>
      <c r="JN31">
        <v>405.48795505807334</v>
      </c>
      <c r="JO31">
        <v>0</v>
      </c>
      <c r="JP31">
        <v>0</v>
      </c>
      <c r="JQ31">
        <v>43.5026260528808</v>
      </c>
      <c r="JR31">
        <v>61.415626959282854</v>
      </c>
      <c r="JS31">
        <v>5.150223636971373</v>
      </c>
      <c r="JT31">
        <v>16.460880080333691</v>
      </c>
      <c r="JU31">
        <v>0</v>
      </c>
      <c r="JV31">
        <v>0</v>
      </c>
      <c r="JW31">
        <v>414</v>
      </c>
      <c r="JX31">
        <v>17.600000000000001</v>
      </c>
      <c r="JY31">
        <v>44.2211</v>
      </c>
      <c r="JZ31">
        <v>0</v>
      </c>
      <c r="KA31">
        <v>100.41500000000001</v>
      </c>
      <c r="KB31">
        <v>176.18804499999999</v>
      </c>
      <c r="KC31">
        <v>0</v>
      </c>
      <c r="KD31">
        <v>20</v>
      </c>
      <c r="KF31" s="194">
        <v>730.64469999999994</v>
      </c>
      <c r="KG31" s="194">
        <v>753.48699999999997</v>
      </c>
      <c r="KH31" s="194">
        <v>223.60140000000001</v>
      </c>
      <c r="KI31" s="194">
        <v>87.07</v>
      </c>
      <c r="KJ31" s="194">
        <v>0</v>
      </c>
      <c r="KK31" s="194">
        <v>1255.9760000000001</v>
      </c>
      <c r="KL31" s="194">
        <v>92.075000000000003</v>
      </c>
      <c r="KM31" s="194">
        <v>157.73820000000001</v>
      </c>
      <c r="KN31" s="194">
        <v>414.63900000000001</v>
      </c>
      <c r="KO31" s="194">
        <v>19.125</v>
      </c>
      <c r="KP31" s="194">
        <v>0</v>
      </c>
      <c r="KQ31" s="194">
        <v>0</v>
      </c>
      <c r="KR31" s="194">
        <v>97.763999999999996</v>
      </c>
      <c r="KS31" s="194">
        <v>201.364</v>
      </c>
      <c r="KT31" s="194">
        <v>188.71</v>
      </c>
      <c r="KU31" s="194">
        <v>601.81700000000001</v>
      </c>
      <c r="KV31" s="194">
        <v>97.358500000000006</v>
      </c>
      <c r="KW31" s="194">
        <v>0</v>
      </c>
      <c r="KX31" s="194">
        <v>0</v>
      </c>
      <c r="KY31" s="194">
        <v>29.995000000000001</v>
      </c>
      <c r="KZ31" s="194">
        <v>163.755</v>
      </c>
      <c r="LA31" s="242">
        <v>30.07</v>
      </c>
      <c r="LB31" s="242">
        <v>33.5</v>
      </c>
      <c r="LC31" s="194">
        <v>163.601</v>
      </c>
      <c r="LD31" s="194">
        <v>509.82659999999998</v>
      </c>
      <c r="LE31" s="194">
        <v>0</v>
      </c>
      <c r="LF31" s="194">
        <v>424.66430000000003</v>
      </c>
      <c r="LG31" s="194">
        <v>1221.5250000000001</v>
      </c>
      <c r="LH31" s="194">
        <v>34.494750000000003</v>
      </c>
      <c r="LK31" s="194">
        <v>14.7</v>
      </c>
      <c r="LL31" s="194"/>
      <c r="LM31" s="194">
        <v>50.4</v>
      </c>
      <c r="LN31" s="194"/>
      <c r="LO31" s="194"/>
      <c r="LP31" s="194"/>
      <c r="LQ31" s="194">
        <v>41.4</v>
      </c>
      <c r="LR31" s="194">
        <v>144.6</v>
      </c>
      <c r="LS31" s="194"/>
      <c r="LT31" s="194">
        <v>116.8</v>
      </c>
      <c r="LU31" s="194">
        <v>694.7</v>
      </c>
      <c r="LV31" s="257">
        <v>163.80000000000001</v>
      </c>
      <c r="LW31" s="257"/>
      <c r="LX31" s="257">
        <v>26.9</v>
      </c>
      <c r="LY31" s="257">
        <v>301</v>
      </c>
      <c r="LZ31" s="257">
        <v>302.2</v>
      </c>
      <c r="MA31" s="194">
        <v>153.19999999999999</v>
      </c>
      <c r="MB31">
        <v>33.9</v>
      </c>
      <c r="MC31">
        <v>103</v>
      </c>
      <c r="MD31">
        <v>62.7</v>
      </c>
      <c r="ME31">
        <v>12.9</v>
      </c>
      <c r="MH31">
        <v>15.7</v>
      </c>
      <c r="MI31">
        <v>142.9</v>
      </c>
      <c r="MJ31" s="123">
        <v>200.7</v>
      </c>
      <c r="MK31" s="123">
        <v>12.7</v>
      </c>
      <c r="ML31" s="123">
        <v>334.1</v>
      </c>
      <c r="MN31" s="123">
        <v>339.3</v>
      </c>
      <c r="MO31" s="270">
        <v>354</v>
      </c>
      <c r="MP31" s="270">
        <v>27</v>
      </c>
      <c r="MQ31" s="270">
        <v>47</v>
      </c>
      <c r="MR31" s="270">
        <v>133</v>
      </c>
      <c r="MS31" s="270">
        <v>99</v>
      </c>
      <c r="MT31" s="270">
        <v>0</v>
      </c>
      <c r="MU31" s="270">
        <v>0</v>
      </c>
      <c r="MV31" s="270">
        <v>44</v>
      </c>
      <c r="MW31" s="270">
        <v>10</v>
      </c>
      <c r="MX31" s="270">
        <v>26</v>
      </c>
      <c r="MY31" s="270">
        <v>0</v>
      </c>
      <c r="MZ31" s="270">
        <v>146</v>
      </c>
      <c r="NA31">
        <v>0</v>
      </c>
      <c r="NB31">
        <v>59</v>
      </c>
      <c r="NC31">
        <v>168</v>
      </c>
      <c r="ND31">
        <v>288</v>
      </c>
      <c r="NE31">
        <v>69</v>
      </c>
      <c r="NF31">
        <v>127</v>
      </c>
      <c r="NG31">
        <v>0</v>
      </c>
      <c r="NH31">
        <v>249</v>
      </c>
      <c r="NI31">
        <v>0</v>
      </c>
      <c r="NJ31">
        <v>107</v>
      </c>
      <c r="NK31">
        <v>73</v>
      </c>
      <c r="NL31">
        <v>92</v>
      </c>
      <c r="NM31">
        <v>0</v>
      </c>
      <c r="NN31">
        <v>0</v>
      </c>
      <c r="NO31">
        <v>0</v>
      </c>
      <c r="NP31">
        <v>0</v>
      </c>
      <c r="NQ31">
        <v>31</v>
      </c>
      <c r="NW31" s="437" t="s">
        <v>58</v>
      </c>
      <c r="NX31" s="315" t="s">
        <v>20</v>
      </c>
      <c r="NY31" s="315" t="s">
        <v>21</v>
      </c>
      <c r="NZ31" s="315" t="s">
        <v>22</v>
      </c>
      <c r="OA31" s="315" t="s">
        <v>23</v>
      </c>
      <c r="OB31" s="315" t="s">
        <v>24</v>
      </c>
      <c r="OC31" s="315" t="s">
        <v>25</v>
      </c>
      <c r="OD31" s="315" t="s">
        <v>26</v>
      </c>
      <c r="OE31" s="315" t="s">
        <v>27</v>
      </c>
      <c r="OF31" s="315" t="s">
        <v>28</v>
      </c>
      <c r="OG31" s="315" t="s">
        <v>29</v>
      </c>
      <c r="OH31" s="315" t="s">
        <v>30</v>
      </c>
      <c r="OI31" s="315" t="s">
        <v>31</v>
      </c>
      <c r="OJ31" s="331" t="s">
        <v>32</v>
      </c>
      <c r="OK31" s="314" t="s">
        <v>33</v>
      </c>
      <c r="OL31" s="314" t="s">
        <v>34</v>
      </c>
      <c r="OM31" s="314" t="s">
        <v>35</v>
      </c>
      <c r="ON31" s="314" t="s">
        <v>36</v>
      </c>
      <c r="OP31">
        <v>330</v>
      </c>
    </row>
    <row r="32" spans="2:436">
      <c r="B32" s="443"/>
      <c r="C32" s="374" t="s">
        <v>42</v>
      </c>
      <c r="D32" s="196">
        <f>IFERROR(D7/1000/N$6,0)</f>
        <v>6.1013490754244705E-2</v>
      </c>
      <c r="E32" s="119">
        <f>IFERROR(E7/1000/N$5,0)</f>
        <v>0.44651270710225915</v>
      </c>
      <c r="F32" s="196">
        <f>IFERROR(F7/1000/N$10,0)</f>
        <v>1.6389849381137484E-2</v>
      </c>
      <c r="G32" s="196">
        <f>IFERROR(G7/1000/N$9,0)</f>
        <v>0.16604412852985453</v>
      </c>
      <c r="H32" s="196"/>
      <c r="I32" s="196"/>
      <c r="J32" s="397">
        <f>IFERROR(J7/1000/N$4,0)</f>
        <v>5.8396286037156735E-2</v>
      </c>
      <c r="P32" s="189">
        <f t="shared" si="53"/>
        <v>2921</v>
      </c>
      <c r="Q32" s="145"/>
      <c r="R32" s="59" t="s">
        <v>40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108">
        <v>89.766798116146532</v>
      </c>
      <c r="CA32" s="108">
        <v>22.073802815445866</v>
      </c>
      <c r="CB32" s="108">
        <v>164.68896383890569</v>
      </c>
      <c r="CC32" s="108">
        <v>178.27171050467675</v>
      </c>
      <c r="CD32" s="108">
        <v>165.22977200788415</v>
      </c>
      <c r="CE32" s="108">
        <v>240.81415181510667</v>
      </c>
      <c r="CF32" s="108">
        <v>282.45840425837008</v>
      </c>
      <c r="CG32" s="108">
        <v>277.39412204743638</v>
      </c>
      <c r="CH32" s="108">
        <v>0</v>
      </c>
      <c r="CI32" s="108">
        <v>641.89676771729796</v>
      </c>
      <c r="CJ32" s="108">
        <v>362.78294927185283</v>
      </c>
      <c r="CK32" s="108">
        <v>426.67895617092591</v>
      </c>
      <c r="CL32" s="108">
        <v>409.54702161393362</v>
      </c>
      <c r="CM32" s="108">
        <v>334.60544566056535</v>
      </c>
      <c r="CN32" s="108">
        <v>151.57344599939495</v>
      </c>
      <c r="CO32" s="108">
        <v>84.616244125875838</v>
      </c>
      <c r="CP32" s="108">
        <v>418.38704251231775</v>
      </c>
      <c r="CQ32" s="108">
        <v>282.72494542736661</v>
      </c>
      <c r="CR32" s="108">
        <v>264.99232383229173</v>
      </c>
      <c r="CS32" s="108">
        <v>964.27936012420912</v>
      </c>
      <c r="CT32" s="108">
        <v>182.05663189409853</v>
      </c>
      <c r="CU32" s="108">
        <v>395.12107039648106</v>
      </c>
      <c r="CV32" s="108">
        <v>95.65314553359876</v>
      </c>
      <c r="CW32" s="108">
        <v>145.18462525052047</v>
      </c>
      <c r="CX32" s="108">
        <v>334.0440720652972</v>
      </c>
      <c r="CY32" s="108">
        <v>220</v>
      </c>
      <c r="CZ32" s="108">
        <v>0</v>
      </c>
      <c r="DA32" s="108">
        <v>282</v>
      </c>
      <c r="DB32" s="108">
        <v>595</v>
      </c>
      <c r="DC32" s="108">
        <v>19</v>
      </c>
      <c r="DD32" s="109">
        <v>218</v>
      </c>
      <c r="DE32" s="109">
        <v>255</v>
      </c>
      <c r="DF32" s="109">
        <v>337</v>
      </c>
      <c r="DG32" s="109">
        <v>0</v>
      </c>
      <c r="DH32" s="109">
        <v>40</v>
      </c>
      <c r="DI32" s="109">
        <v>526</v>
      </c>
      <c r="DJ32" s="109">
        <v>0</v>
      </c>
      <c r="DK32" s="109">
        <v>60</v>
      </c>
      <c r="DL32" s="109">
        <v>60</v>
      </c>
      <c r="DM32" s="109">
        <v>90</v>
      </c>
      <c r="DN32" s="109">
        <v>180</v>
      </c>
      <c r="DO32" s="109">
        <v>190</v>
      </c>
      <c r="DP32" s="109">
        <v>125</v>
      </c>
      <c r="DQ32" s="109">
        <v>60</v>
      </c>
      <c r="DR32" s="109">
        <v>190</v>
      </c>
      <c r="DS32" s="109">
        <v>150</v>
      </c>
      <c r="DT32" s="109">
        <v>177</v>
      </c>
      <c r="DU32" s="109">
        <v>150</v>
      </c>
      <c r="DV32" s="109">
        <v>50</v>
      </c>
      <c r="DW32" s="109">
        <v>570</v>
      </c>
      <c r="DX32" s="109">
        <v>30</v>
      </c>
      <c r="DY32" s="109">
        <v>0</v>
      </c>
      <c r="DZ32" s="109">
        <v>800</v>
      </c>
      <c r="EA32" s="109">
        <v>110</v>
      </c>
      <c r="EB32" s="109">
        <v>140</v>
      </c>
      <c r="EC32" s="109">
        <v>100</v>
      </c>
      <c r="ED32">
        <v>0</v>
      </c>
      <c r="EE32">
        <v>0</v>
      </c>
      <c r="EF32" s="109">
        <v>80</v>
      </c>
      <c r="EG32">
        <v>0</v>
      </c>
      <c r="EH32">
        <v>0</v>
      </c>
      <c r="EI32" s="154">
        <v>25</v>
      </c>
      <c r="EJ32" s="109">
        <v>50</v>
      </c>
      <c r="EK32" s="109">
        <v>0</v>
      </c>
      <c r="EL32" s="109">
        <v>0</v>
      </c>
      <c r="EM32" s="109">
        <v>190</v>
      </c>
      <c r="EN32" s="101">
        <v>80</v>
      </c>
      <c r="EO32" s="101">
        <v>157</v>
      </c>
      <c r="EP32" s="101">
        <v>580</v>
      </c>
      <c r="EQ32" s="101">
        <v>125</v>
      </c>
      <c r="ER32" s="101">
        <v>0</v>
      </c>
      <c r="ES32" s="101">
        <v>50</v>
      </c>
      <c r="ET32" s="101">
        <v>140</v>
      </c>
      <c r="EU32" s="101">
        <v>140</v>
      </c>
      <c r="EV32" s="101">
        <v>50</v>
      </c>
      <c r="EW32" s="101">
        <v>220</v>
      </c>
      <c r="EX32" s="101">
        <v>0</v>
      </c>
      <c r="EY32" s="101">
        <v>55</v>
      </c>
      <c r="EZ32" s="101">
        <v>60</v>
      </c>
      <c r="FA32" s="101">
        <v>205</v>
      </c>
      <c r="FB32" s="101">
        <v>75</v>
      </c>
      <c r="FC32" s="101">
        <v>40</v>
      </c>
      <c r="FD32" s="101">
        <v>0</v>
      </c>
      <c r="FE32" s="101">
        <v>0</v>
      </c>
      <c r="FF32" s="101">
        <v>0</v>
      </c>
      <c r="FG32" s="101">
        <v>54</v>
      </c>
      <c r="FH32" s="101">
        <v>57</v>
      </c>
      <c r="FI32" s="101">
        <v>0</v>
      </c>
      <c r="FJ32" s="101">
        <v>0</v>
      </c>
      <c r="FK32" s="101">
        <v>50</v>
      </c>
      <c r="FL32" s="101">
        <v>70</v>
      </c>
      <c r="FM32" s="101">
        <v>25</v>
      </c>
      <c r="FN32" s="194">
        <v>120</v>
      </c>
      <c r="FO32" s="194">
        <v>50</v>
      </c>
      <c r="FP32" s="194">
        <v>51</v>
      </c>
      <c r="FQ32" s="194">
        <v>30</v>
      </c>
      <c r="FR32" s="194">
        <v>0</v>
      </c>
      <c r="FS32" s="194">
        <v>110</v>
      </c>
      <c r="FT32" s="194">
        <v>60</v>
      </c>
      <c r="FU32" s="194">
        <v>150</v>
      </c>
      <c r="FV32" s="194">
        <v>224</v>
      </c>
      <c r="FW32" s="194">
        <v>0</v>
      </c>
      <c r="FX32" s="194">
        <v>30</v>
      </c>
      <c r="FY32" s="194">
        <v>160</v>
      </c>
      <c r="FZ32" s="194">
        <v>120</v>
      </c>
      <c r="GA32" s="194">
        <v>0</v>
      </c>
      <c r="GB32" s="194">
        <v>35</v>
      </c>
      <c r="GC32" s="194">
        <v>55</v>
      </c>
      <c r="GD32" s="194">
        <v>158</v>
      </c>
      <c r="GF32">
        <v>161</v>
      </c>
      <c r="GJ32">
        <v>130</v>
      </c>
      <c r="GL32">
        <v>30</v>
      </c>
      <c r="GM32">
        <v>105</v>
      </c>
      <c r="GQ32">
        <v>120</v>
      </c>
      <c r="GR32" s="194">
        <v>40</v>
      </c>
      <c r="GS32" s="194">
        <v>0</v>
      </c>
      <c r="GT32" s="194">
        <v>25</v>
      </c>
      <c r="GU32" s="194">
        <v>0</v>
      </c>
      <c r="GV32" s="194">
        <v>70</v>
      </c>
      <c r="GW32" s="194">
        <v>0</v>
      </c>
      <c r="GX32" s="194">
        <v>50</v>
      </c>
      <c r="GY32" s="194">
        <v>325</v>
      </c>
      <c r="GZ32" s="194">
        <v>150</v>
      </c>
      <c r="HA32" s="194">
        <v>130</v>
      </c>
      <c r="HB32" s="194">
        <v>110</v>
      </c>
      <c r="HC32" s="194">
        <v>40</v>
      </c>
      <c r="HD32" s="194">
        <v>120</v>
      </c>
      <c r="HE32" s="194">
        <v>0</v>
      </c>
      <c r="HF32" s="194">
        <v>0</v>
      </c>
      <c r="HG32" s="109">
        <v>281</v>
      </c>
      <c r="HH32" s="194">
        <v>0</v>
      </c>
      <c r="HI32" s="194">
        <v>261</v>
      </c>
      <c r="HJ32" s="194">
        <v>23</v>
      </c>
      <c r="HK32" s="194">
        <v>54</v>
      </c>
      <c r="HL32">
        <v>50</v>
      </c>
      <c r="HM32">
        <v>100</v>
      </c>
      <c r="HN32">
        <v>20</v>
      </c>
      <c r="HO32">
        <v>110</v>
      </c>
      <c r="HP32">
        <v>50</v>
      </c>
      <c r="HQ32">
        <v>0</v>
      </c>
      <c r="HR32">
        <v>0</v>
      </c>
      <c r="HS32">
        <v>70</v>
      </c>
      <c r="HT32">
        <v>0</v>
      </c>
      <c r="HU32">
        <v>100</v>
      </c>
      <c r="HV32">
        <v>430</v>
      </c>
      <c r="HW32">
        <v>358</v>
      </c>
      <c r="HX32">
        <v>40</v>
      </c>
      <c r="HY32">
        <v>200</v>
      </c>
      <c r="HZ32">
        <v>0</v>
      </c>
      <c r="IA32">
        <v>32.918322000000003</v>
      </c>
      <c r="IB32">
        <v>143</v>
      </c>
      <c r="IC32">
        <v>0</v>
      </c>
      <c r="ID32">
        <v>80</v>
      </c>
      <c r="IE32">
        <v>0</v>
      </c>
      <c r="IF32">
        <v>0</v>
      </c>
      <c r="IG32">
        <v>120</v>
      </c>
      <c r="IH32">
        <v>20</v>
      </c>
      <c r="II32">
        <v>0</v>
      </c>
      <c r="IJ32">
        <v>50</v>
      </c>
      <c r="IK32">
        <v>200</v>
      </c>
      <c r="IL32">
        <v>100</v>
      </c>
      <c r="IM32">
        <v>230</v>
      </c>
      <c r="IN32">
        <v>100</v>
      </c>
      <c r="IO32">
        <v>154</v>
      </c>
      <c r="IP32">
        <v>0</v>
      </c>
      <c r="IQ32">
        <v>200</v>
      </c>
      <c r="IR32">
        <v>40</v>
      </c>
      <c r="IS32">
        <v>100</v>
      </c>
      <c r="IT32">
        <v>80</v>
      </c>
      <c r="IU32">
        <v>0</v>
      </c>
      <c r="IV32">
        <v>250</v>
      </c>
      <c r="IW32">
        <v>0</v>
      </c>
      <c r="IX32">
        <v>248</v>
      </c>
      <c r="IY32">
        <v>240</v>
      </c>
      <c r="IZ32">
        <v>100</v>
      </c>
      <c r="JA32">
        <v>70</v>
      </c>
      <c r="JB32">
        <v>0</v>
      </c>
      <c r="JC32">
        <v>70</v>
      </c>
      <c r="JD32">
        <v>0</v>
      </c>
      <c r="JE32">
        <v>0</v>
      </c>
      <c r="JF32">
        <v>29</v>
      </c>
      <c r="JG32">
        <v>100</v>
      </c>
      <c r="JH32">
        <v>50</v>
      </c>
      <c r="JI32">
        <v>0</v>
      </c>
      <c r="JJ32">
        <v>170</v>
      </c>
      <c r="JK32">
        <v>80</v>
      </c>
      <c r="JL32">
        <v>300</v>
      </c>
      <c r="JM32">
        <v>0</v>
      </c>
      <c r="JN32">
        <v>140</v>
      </c>
      <c r="JO32">
        <v>200</v>
      </c>
      <c r="JP32">
        <v>0</v>
      </c>
      <c r="JQ32">
        <v>0</v>
      </c>
      <c r="JR32">
        <v>0</v>
      </c>
      <c r="JS32">
        <v>50</v>
      </c>
      <c r="JT32">
        <v>100</v>
      </c>
      <c r="JU32">
        <v>770</v>
      </c>
      <c r="JV32">
        <v>0</v>
      </c>
      <c r="JW32">
        <v>0</v>
      </c>
      <c r="JX32">
        <v>100</v>
      </c>
      <c r="JY32">
        <v>78</v>
      </c>
      <c r="JZ32">
        <v>157</v>
      </c>
      <c r="KA32">
        <v>70</v>
      </c>
      <c r="KB32">
        <v>168</v>
      </c>
      <c r="KC32">
        <v>144</v>
      </c>
      <c r="KF32" s="194">
        <v>50</v>
      </c>
      <c r="KG32" s="194">
        <v>0</v>
      </c>
      <c r="KH32" s="194">
        <v>125</v>
      </c>
      <c r="KI32" s="194">
        <v>78</v>
      </c>
      <c r="KJ32" s="194">
        <v>280</v>
      </c>
      <c r="KK32" s="194">
        <v>270</v>
      </c>
      <c r="KL32" s="194">
        <v>124</v>
      </c>
      <c r="KM32" s="194">
        <v>0</v>
      </c>
      <c r="KN32" s="194">
        <v>150</v>
      </c>
      <c r="KO32" s="194">
        <v>0</v>
      </c>
      <c r="KP32" s="194">
        <v>250</v>
      </c>
      <c r="KQ32" s="194">
        <v>100</v>
      </c>
      <c r="KR32" s="194">
        <v>0</v>
      </c>
      <c r="KS32" s="194">
        <v>80</v>
      </c>
      <c r="KT32" s="194">
        <v>0</v>
      </c>
      <c r="KU32" s="194">
        <v>0</v>
      </c>
      <c r="KV32" s="194">
        <v>200</v>
      </c>
      <c r="KW32" s="194">
        <v>300</v>
      </c>
      <c r="KX32" s="194">
        <v>200</v>
      </c>
      <c r="KY32" s="194">
        <v>50</v>
      </c>
      <c r="KZ32" s="194">
        <v>25</v>
      </c>
      <c r="LA32" s="194"/>
      <c r="LB32" s="194"/>
      <c r="LC32" s="194">
        <v>200</v>
      </c>
      <c r="LD32" s="194">
        <v>318</v>
      </c>
      <c r="LE32" s="194">
        <v>105</v>
      </c>
      <c r="LF32" s="194">
        <v>0</v>
      </c>
      <c r="LG32" s="194">
        <v>250</v>
      </c>
      <c r="LH32" s="194">
        <v>0</v>
      </c>
      <c r="LK32" s="194">
        <v>1046.1449729999999</v>
      </c>
      <c r="LL32" s="194"/>
      <c r="LM32" s="194">
        <v>577.025486</v>
      </c>
      <c r="LN32" s="194">
        <v>384.99681600000002</v>
      </c>
      <c r="LO32" s="194">
        <v>27.235966999999999</v>
      </c>
      <c r="LP32" s="194">
        <v>1.208</v>
      </c>
      <c r="LQ32" s="194">
        <v>317.50417199999998</v>
      </c>
      <c r="LR32" s="194">
        <v>203.62018</v>
      </c>
      <c r="LS32" s="194">
        <v>26.728259999999999</v>
      </c>
      <c r="LT32" s="194">
        <v>152.28031999999999</v>
      </c>
      <c r="LU32" s="194">
        <v>318.61119000000002</v>
      </c>
      <c r="LV32" s="257">
        <v>10.236402999999999</v>
      </c>
      <c r="LW32" s="257">
        <v>295.57846699999999</v>
      </c>
      <c r="LX32" s="257">
        <v>193.32352800000001</v>
      </c>
      <c r="LY32" s="257">
        <v>322.68803000000003</v>
      </c>
      <c r="LZ32" s="257">
        <v>49.432074999999998</v>
      </c>
      <c r="MA32" s="194">
        <v>231.458</v>
      </c>
      <c r="MB32">
        <v>16.574929000000001</v>
      </c>
      <c r="MC32">
        <v>411.987617</v>
      </c>
      <c r="MD32">
        <v>348.482936</v>
      </c>
      <c r="ME32">
        <v>85</v>
      </c>
      <c r="MH32">
        <v>515.58091200000001</v>
      </c>
      <c r="MI32">
        <v>50</v>
      </c>
      <c r="MJ32">
        <v>201.073791</v>
      </c>
      <c r="MK32">
        <v>408.29752500000001</v>
      </c>
      <c r="ML32">
        <v>51.446300000000001</v>
      </c>
      <c r="MM32">
        <v>0</v>
      </c>
      <c r="MN32">
        <v>0</v>
      </c>
      <c r="MO32" s="270">
        <v>131</v>
      </c>
      <c r="MP32" s="270">
        <v>151</v>
      </c>
      <c r="MQ32" s="270">
        <v>183</v>
      </c>
      <c r="MR32" s="270">
        <v>44</v>
      </c>
      <c r="MS32" s="270">
        <v>412</v>
      </c>
      <c r="MT32" s="270">
        <v>327</v>
      </c>
      <c r="MU32" s="270">
        <v>8</v>
      </c>
      <c r="MV32" s="270">
        <v>41</v>
      </c>
      <c r="MW32" s="270">
        <v>16</v>
      </c>
      <c r="MX32" s="270">
        <v>211</v>
      </c>
      <c r="MY32" s="270">
        <v>77</v>
      </c>
      <c r="MZ32" s="270">
        <v>498</v>
      </c>
      <c r="NA32">
        <v>385</v>
      </c>
      <c r="NB32">
        <v>5</v>
      </c>
      <c r="NC32">
        <v>291</v>
      </c>
      <c r="ND32">
        <v>156</v>
      </c>
      <c r="NE32">
        <v>241</v>
      </c>
      <c r="NF32">
        <v>630</v>
      </c>
      <c r="NG32">
        <v>29</v>
      </c>
      <c r="NH32">
        <v>674</v>
      </c>
      <c r="NI32">
        <v>171</v>
      </c>
      <c r="NJ32">
        <v>91</v>
      </c>
      <c r="NK32">
        <v>141</v>
      </c>
      <c r="NL32">
        <v>353</v>
      </c>
      <c r="NM32">
        <v>24</v>
      </c>
      <c r="NN32">
        <v>30</v>
      </c>
      <c r="NO32">
        <v>4</v>
      </c>
      <c r="NP32">
        <v>0</v>
      </c>
      <c r="NQ32">
        <v>0</v>
      </c>
      <c r="NW32" s="438"/>
      <c r="NX32" s="241">
        <f>NX14/NX23</f>
        <v>0.85925198570477268</v>
      </c>
      <c r="NY32" s="241">
        <f>NY14/NY23</f>
        <v>0.92495109980592138</v>
      </c>
      <c r="NZ32" s="241">
        <f>NZ14/NZ23</f>
        <v>0.96390892103717152</v>
      </c>
      <c r="OA32" s="241">
        <f>OA14/OA23</f>
        <v>0.90014191665189358</v>
      </c>
      <c r="OB32" s="241">
        <f>OB14/OB23</f>
        <v>0.88018025437930114</v>
      </c>
      <c r="OC32" s="241">
        <f>OC14/OC23</f>
        <v>0.87272871483265524</v>
      </c>
      <c r="OD32" s="241">
        <f>OD14/OD23</f>
        <v>0.92798728024989463</v>
      </c>
      <c r="OE32" s="241">
        <f>OE14/OE23</f>
        <v>0.84026484468913398</v>
      </c>
      <c r="OF32" s="241">
        <f>OF14/OF23</f>
        <v>0.91586292285887738</v>
      </c>
      <c r="OG32" s="241">
        <f>OG14/OG23</f>
        <v>0.91286791827713132</v>
      </c>
      <c r="OH32" s="241">
        <f>OH14/OH23</f>
        <v>0.87373719595845389</v>
      </c>
      <c r="OI32" s="241">
        <f>OI14/OI23</f>
        <v>0.92062694480615415</v>
      </c>
      <c r="OJ32" s="330">
        <f>OJ14/OJ23</f>
        <v>0.89927936651615459</v>
      </c>
      <c r="OK32" s="241">
        <f>OK14/OK23</f>
        <v>0.91959487984541566</v>
      </c>
      <c r="OL32" s="241">
        <f>OL14/OL23</f>
        <v>0.96107092757159818</v>
      </c>
      <c r="OM32" s="241">
        <f>OM14/OM23</f>
        <v>0.96244641580500523</v>
      </c>
      <c r="ON32" s="241">
        <f>ON14/ON23</f>
        <v>0.90258396336539604</v>
      </c>
      <c r="OP32">
        <v>2921</v>
      </c>
    </row>
    <row r="33" spans="2:436">
      <c r="B33" s="443"/>
      <c r="C33" s="369" t="s">
        <v>43</v>
      </c>
      <c r="D33" s="401">
        <f>IFERROR(D8/1000/N$6,0)</f>
        <v>0</v>
      </c>
      <c r="E33" s="401">
        <f t="shared" ref="E33:H33" ca="1" si="381">IFERROR(E8/1000/O$6,0)</f>
        <v>0</v>
      </c>
      <c r="F33" s="401">
        <f t="shared" si="381"/>
        <v>0</v>
      </c>
      <c r="G33" s="401">
        <f t="shared" si="381"/>
        <v>0</v>
      </c>
      <c r="H33" s="401">
        <f t="shared" si="381"/>
        <v>0</v>
      </c>
      <c r="I33" s="401">
        <f>IFERROR(I8/1000/BZ$6,0)</f>
        <v>0</v>
      </c>
      <c r="J33" s="390">
        <f>IFERROR(J8/1000/N$4,0)</f>
        <v>0</v>
      </c>
      <c r="O33" s="96"/>
      <c r="P33" s="189">
        <f t="shared" si="53"/>
        <v>1268</v>
      </c>
      <c r="Q33" s="147" t="s">
        <v>41</v>
      </c>
      <c r="R33" s="124" t="s">
        <v>42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108">
        <v>32.452614912353454</v>
      </c>
      <c r="CA33" s="108">
        <v>7.9801512079557666</v>
      </c>
      <c r="CB33" s="108">
        <v>59.538578137356652</v>
      </c>
      <c r="CC33" s="108">
        <v>64.449031180652099</v>
      </c>
      <c r="CD33" s="108">
        <v>59.734091841951575</v>
      </c>
      <c r="CE33" s="108">
        <v>87.059459603193432</v>
      </c>
      <c r="CF33" s="108">
        <v>102.11474637086272</v>
      </c>
      <c r="CG33" s="108">
        <v>100.28390017997746</v>
      </c>
      <c r="CH33" s="108">
        <v>0</v>
      </c>
      <c r="CI33" s="108">
        <v>232.05939226283834</v>
      </c>
      <c r="CJ33" s="108">
        <v>131.15378510275303</v>
      </c>
      <c r="CK33" s="108">
        <v>154.25355639736622</v>
      </c>
      <c r="CL33" s="108">
        <v>148.05999612174682</v>
      </c>
      <c r="CM33" s="108">
        <v>120.9670156837814</v>
      </c>
      <c r="CN33" s="108">
        <v>54.797038294629601</v>
      </c>
      <c r="CO33" s="108">
        <v>30.59057963049711</v>
      </c>
      <c r="CP33" s="108">
        <v>151.25585249685366</v>
      </c>
      <c r="CQ33" s="108">
        <v>102.21110669669881</v>
      </c>
      <c r="CR33" s="108">
        <v>95.800385226307654</v>
      </c>
      <c r="CS33" s="108">
        <v>348.60758541874242</v>
      </c>
      <c r="CT33" s="108">
        <v>65.81736110777625</v>
      </c>
      <c r="CU33" s="108">
        <v>142.84470662240824</v>
      </c>
      <c r="CV33" s="108">
        <v>34.580655234474996</v>
      </c>
      <c r="CW33" s="108">
        <v>52.487343130510965</v>
      </c>
      <c r="CX33" s="108">
        <v>120.76406713831108</v>
      </c>
      <c r="CY33" s="108">
        <v>103</v>
      </c>
      <c r="CZ33" s="108">
        <v>196</v>
      </c>
      <c r="DA33" s="108">
        <v>154</v>
      </c>
      <c r="DB33" s="108">
        <v>138</v>
      </c>
      <c r="DC33" s="108">
        <v>0</v>
      </c>
      <c r="DD33" s="68">
        <v>139</v>
      </c>
      <c r="DE33" s="120">
        <v>133</v>
      </c>
      <c r="DF33" s="120">
        <v>109</v>
      </c>
      <c r="DG33" s="120">
        <v>77</v>
      </c>
      <c r="DH33" s="120">
        <v>71</v>
      </c>
      <c r="DI33" s="120">
        <v>87</v>
      </c>
      <c r="DJ33" s="120">
        <v>0</v>
      </c>
      <c r="DK33" s="120">
        <v>0</v>
      </c>
      <c r="DL33" s="120">
        <v>134.6</v>
      </c>
      <c r="DM33" s="120">
        <v>153.4</v>
      </c>
      <c r="DN33" s="120">
        <v>158.30000000000001</v>
      </c>
      <c r="DO33" s="120">
        <v>106.5</v>
      </c>
      <c r="DP33" s="120">
        <v>75.400000000000006</v>
      </c>
      <c r="DQ33" s="120">
        <v>0</v>
      </c>
      <c r="DR33" s="120">
        <v>84.1</v>
      </c>
      <c r="DS33" s="120">
        <v>130.80000000000001</v>
      </c>
      <c r="DT33" s="120">
        <v>144.29</v>
      </c>
      <c r="DU33" s="120">
        <v>152.1</v>
      </c>
      <c r="DV33" s="120">
        <v>130.19999999999999</v>
      </c>
      <c r="DW33" s="120">
        <v>112</v>
      </c>
      <c r="DX33" s="120">
        <v>0</v>
      </c>
      <c r="DY33" s="120">
        <v>110.8</v>
      </c>
      <c r="DZ33" s="120">
        <v>98.78</v>
      </c>
      <c r="EA33" s="120">
        <v>91.2</v>
      </c>
      <c r="EB33" s="120">
        <v>96.7</v>
      </c>
      <c r="EC33" s="120">
        <v>129.69999999999999</v>
      </c>
      <c r="ED33" s="120">
        <v>119</v>
      </c>
      <c r="EE33" s="120">
        <v>0</v>
      </c>
      <c r="EF33" s="120">
        <v>77</v>
      </c>
      <c r="EG33">
        <v>144</v>
      </c>
      <c r="EH33">
        <v>0</v>
      </c>
      <c r="EI33" s="155">
        <v>0</v>
      </c>
      <c r="EJ33" s="101">
        <v>102.8</v>
      </c>
      <c r="EK33" s="101">
        <v>69.900000000000006</v>
      </c>
      <c r="EL33" s="101">
        <v>0</v>
      </c>
      <c r="EM33" s="101">
        <v>96</v>
      </c>
      <c r="EN33" s="101">
        <v>132</v>
      </c>
      <c r="EO33" s="101">
        <v>79</v>
      </c>
      <c r="EP33" s="101">
        <v>82</v>
      </c>
      <c r="EQ33" s="101">
        <v>207</v>
      </c>
      <c r="ER33" s="101">
        <v>104</v>
      </c>
      <c r="ES33" s="101">
        <v>0</v>
      </c>
      <c r="ET33" s="101">
        <v>102</v>
      </c>
      <c r="EU33" s="101">
        <v>205</v>
      </c>
      <c r="EV33" s="101">
        <v>115</v>
      </c>
      <c r="EW33" s="101">
        <v>193</v>
      </c>
      <c r="EX33" s="101">
        <v>163</v>
      </c>
      <c r="EY33" s="101">
        <v>111</v>
      </c>
      <c r="EZ33" s="101"/>
      <c r="FA33" s="101">
        <v>79</v>
      </c>
      <c r="FB33" s="101">
        <v>146</v>
      </c>
      <c r="FC33" s="101">
        <v>130</v>
      </c>
      <c r="FD33" s="101">
        <v>170</v>
      </c>
      <c r="FE33" s="101">
        <v>124</v>
      </c>
      <c r="FF33" s="101">
        <v>141</v>
      </c>
      <c r="FG33" s="101">
        <v>107</v>
      </c>
      <c r="FH33" s="101">
        <v>184</v>
      </c>
      <c r="FI33" s="101">
        <v>0</v>
      </c>
      <c r="FJ33" s="101">
        <v>67</v>
      </c>
      <c r="FK33" s="101">
        <v>176</v>
      </c>
      <c r="FL33" s="101">
        <v>108</v>
      </c>
      <c r="FM33" s="101">
        <v>117</v>
      </c>
      <c r="FN33" s="194">
        <v>0</v>
      </c>
      <c r="FO33" s="194">
        <v>211.73</v>
      </c>
      <c r="FP33" s="194">
        <v>122.4</v>
      </c>
      <c r="FQ33" s="194">
        <v>172.41</v>
      </c>
      <c r="FR33" s="194">
        <v>183.17</v>
      </c>
      <c r="FS33" s="194">
        <v>255.69</v>
      </c>
      <c r="FT33" s="194">
        <v>194.96</v>
      </c>
      <c r="FU33" s="194">
        <v>0</v>
      </c>
      <c r="FV33" s="194">
        <v>194.1</v>
      </c>
      <c r="FW33" s="194">
        <v>234.18</v>
      </c>
      <c r="FX33" s="194">
        <v>173.12</v>
      </c>
      <c r="FY33" s="194">
        <v>185.1</v>
      </c>
      <c r="FZ33" s="194">
        <v>148.46</v>
      </c>
      <c r="GA33" s="194">
        <v>170.73</v>
      </c>
      <c r="GB33" s="194">
        <v>0</v>
      </c>
      <c r="GC33" s="194">
        <v>216.16</v>
      </c>
      <c r="GD33" s="194">
        <v>181.25</v>
      </c>
      <c r="GE33">
        <v>215</v>
      </c>
      <c r="GF33">
        <v>0</v>
      </c>
      <c r="GJ33">
        <v>159</v>
      </c>
      <c r="GK33">
        <v>141</v>
      </c>
      <c r="GL33">
        <v>165</v>
      </c>
      <c r="GM33">
        <v>200</v>
      </c>
      <c r="GN33">
        <v>171</v>
      </c>
      <c r="GO33">
        <v>212</v>
      </c>
      <c r="GQ33">
        <v>170</v>
      </c>
      <c r="GR33" s="118">
        <v>182.58</v>
      </c>
      <c r="GS33" s="118">
        <v>200.88</v>
      </c>
      <c r="GT33" s="118">
        <v>142.19999999999999</v>
      </c>
      <c r="GU33" s="118">
        <v>166.34</v>
      </c>
      <c r="GV33" s="118">
        <v>153.87</v>
      </c>
      <c r="GW33" s="118">
        <v>0</v>
      </c>
      <c r="GX33" s="118">
        <v>106.92</v>
      </c>
      <c r="GY33" s="118">
        <v>120.45</v>
      </c>
      <c r="GZ33" s="118">
        <v>198.5</v>
      </c>
      <c r="HA33" s="118">
        <v>119.57</v>
      </c>
      <c r="HB33" s="118">
        <v>157.72</v>
      </c>
      <c r="HC33" s="118">
        <v>129.61000000000001</v>
      </c>
      <c r="HD33" s="118">
        <v>0</v>
      </c>
      <c r="HE33" s="118">
        <v>167.7</v>
      </c>
      <c r="HF33" s="118">
        <v>172.1</v>
      </c>
      <c r="HG33" s="118">
        <v>127.67</v>
      </c>
      <c r="HH33" s="118">
        <v>106.63</v>
      </c>
      <c r="HI33" s="118">
        <v>153.27000000000001</v>
      </c>
      <c r="HJ33" s="118">
        <v>160.9</v>
      </c>
      <c r="HK33" s="118">
        <v>0</v>
      </c>
      <c r="HL33" s="118">
        <v>84.02</v>
      </c>
      <c r="HM33" s="118">
        <v>150.62</v>
      </c>
      <c r="HN33" s="118">
        <v>146.18</v>
      </c>
      <c r="HO33" s="118">
        <v>216.91</v>
      </c>
      <c r="HP33" s="118">
        <v>110.39</v>
      </c>
      <c r="HQ33" s="118">
        <v>87.27</v>
      </c>
      <c r="HR33" s="118">
        <v>0</v>
      </c>
      <c r="HS33" s="118">
        <v>144.83000000000001</v>
      </c>
      <c r="HT33" s="118">
        <v>83.35</v>
      </c>
      <c r="HU33" s="118">
        <v>169.72</v>
      </c>
      <c r="HV33" s="118">
        <v>137.42000000000002</v>
      </c>
      <c r="HW33" s="120">
        <v>124.19</v>
      </c>
      <c r="HX33" s="120">
        <v>155.88</v>
      </c>
      <c r="HY33" s="120">
        <v>0</v>
      </c>
      <c r="HZ33" s="118">
        <v>107.53</v>
      </c>
      <c r="IA33" s="118">
        <v>202.04</v>
      </c>
      <c r="IB33" s="118">
        <v>138.1</v>
      </c>
      <c r="IC33" s="118">
        <v>100</v>
      </c>
      <c r="ID33" s="118">
        <v>147.47</v>
      </c>
      <c r="IE33" s="118">
        <v>128.47</v>
      </c>
      <c r="IF33" s="118">
        <v>0</v>
      </c>
      <c r="IG33" s="118">
        <v>236.49</v>
      </c>
      <c r="IH33" s="118">
        <v>175.92</v>
      </c>
      <c r="II33" s="118">
        <v>158.34</v>
      </c>
      <c r="IJ33" s="118">
        <v>188.46</v>
      </c>
      <c r="IK33" s="118">
        <v>181.54</v>
      </c>
      <c r="IL33" s="118">
        <v>132.19999999999999</v>
      </c>
      <c r="IM33" s="118">
        <v>0</v>
      </c>
      <c r="IN33" s="118">
        <v>177.82</v>
      </c>
      <c r="IO33" s="118">
        <v>138.18</v>
      </c>
      <c r="IP33" s="118">
        <v>158.61000000000001</v>
      </c>
      <c r="IQ33" s="118">
        <v>185.47</v>
      </c>
      <c r="IR33" s="118">
        <v>160.97</v>
      </c>
      <c r="IS33" s="118">
        <v>151.06</v>
      </c>
      <c r="IT33" s="118">
        <v>0</v>
      </c>
      <c r="IU33" s="118">
        <v>161.08000000000001</v>
      </c>
      <c r="IV33" s="118">
        <v>127.85</v>
      </c>
      <c r="IW33" s="118">
        <v>170.39</v>
      </c>
      <c r="IX33" s="118">
        <v>157.24</v>
      </c>
      <c r="IY33" s="118">
        <v>72.61</v>
      </c>
      <c r="IZ33" s="118">
        <v>120.2</v>
      </c>
      <c r="JA33" s="118"/>
      <c r="JB33" s="118">
        <v>0</v>
      </c>
      <c r="JC33" s="118">
        <v>0</v>
      </c>
      <c r="JD33" s="118">
        <v>64.03</v>
      </c>
      <c r="JE33" s="118">
        <v>180.38</v>
      </c>
      <c r="JF33" s="118">
        <v>152.69999999999999</v>
      </c>
      <c r="JG33" s="118">
        <v>88.65</v>
      </c>
      <c r="JH33" s="118">
        <v>0</v>
      </c>
      <c r="JI33" s="118">
        <v>114.11</v>
      </c>
      <c r="JJ33" s="118">
        <v>153.86000000000001</v>
      </c>
      <c r="JK33" s="118">
        <v>202.7</v>
      </c>
      <c r="JL33" s="118">
        <v>114.31</v>
      </c>
      <c r="JM33" s="118">
        <v>119.08</v>
      </c>
      <c r="JN33" s="118">
        <v>117.69</v>
      </c>
      <c r="JO33" s="118">
        <v>0</v>
      </c>
      <c r="JP33" s="118">
        <v>106.96</v>
      </c>
      <c r="JQ33" s="118">
        <v>100.13</v>
      </c>
      <c r="JR33" s="118">
        <v>74.430000000000007</v>
      </c>
      <c r="JS33" s="118">
        <v>112.45</v>
      </c>
      <c r="JT33" s="118">
        <v>165</v>
      </c>
      <c r="JU33" s="118">
        <v>72.459999999999994</v>
      </c>
      <c r="JV33" s="118">
        <v>0</v>
      </c>
      <c r="JW33" s="118">
        <v>132.41999999999999</v>
      </c>
      <c r="JX33" s="118">
        <v>146.38</v>
      </c>
      <c r="JY33" s="118">
        <v>171.82</v>
      </c>
      <c r="JZ33" s="118">
        <v>80.62</v>
      </c>
      <c r="KA33" s="120">
        <v>114.89</v>
      </c>
      <c r="KB33" s="120">
        <v>129.73000000000002</v>
      </c>
      <c r="KC33" s="120">
        <v>0</v>
      </c>
      <c r="KD33" s="118">
        <v>109</v>
      </c>
      <c r="KE33" s="118"/>
      <c r="KF33" s="243">
        <v>113.688</v>
      </c>
      <c r="KG33" s="243">
        <v>75.006</v>
      </c>
      <c r="KH33" s="243">
        <v>99.561000000000007</v>
      </c>
      <c r="KI33" s="243">
        <v>100.27</v>
      </c>
      <c r="KJ33" s="243">
        <v>0</v>
      </c>
      <c r="KK33" s="243">
        <v>59.024999999999999</v>
      </c>
      <c r="KL33" s="243">
        <v>114.568</v>
      </c>
      <c r="KM33" s="243">
        <v>106.619</v>
      </c>
      <c r="KN33" s="243">
        <v>102.20099999999999</v>
      </c>
      <c r="KO33" s="243">
        <v>102.941</v>
      </c>
      <c r="KP33" s="243">
        <v>142.63999999999999</v>
      </c>
      <c r="KQ33" s="243">
        <v>0</v>
      </c>
      <c r="KR33" s="243">
        <v>175.47</v>
      </c>
      <c r="KS33" s="243">
        <v>140.83699999999999</v>
      </c>
      <c r="KT33" s="243">
        <v>65.072000000000003</v>
      </c>
      <c r="KU33" s="243">
        <v>125.05200000000001</v>
      </c>
      <c r="KV33" s="243">
        <v>128.36099999999999</v>
      </c>
      <c r="KW33" s="243">
        <v>108.45</v>
      </c>
      <c r="KX33" s="243">
        <v>0</v>
      </c>
      <c r="KY33" s="243">
        <v>134.58600000000001</v>
      </c>
      <c r="KZ33" s="243">
        <v>154</v>
      </c>
      <c r="LA33" s="243">
        <v>84.271000000000001</v>
      </c>
      <c r="LB33" s="243">
        <v>177.309</v>
      </c>
      <c r="LC33" s="243">
        <v>117.17</v>
      </c>
      <c r="LD33" s="243">
        <v>100.61</v>
      </c>
      <c r="LE33" s="243">
        <v>0</v>
      </c>
      <c r="LF33" s="118">
        <v>37.149000000000001</v>
      </c>
      <c r="LG33" s="118">
        <v>115.53100000000001</v>
      </c>
      <c r="LH33" s="118">
        <v>85.27</v>
      </c>
      <c r="LI33" s="118">
        <v>97.27</v>
      </c>
      <c r="LJ33" s="118">
        <v>97</v>
      </c>
      <c r="LK33" s="243">
        <v>120</v>
      </c>
      <c r="LL33" s="243">
        <v>0</v>
      </c>
      <c r="LM33" s="243">
        <v>186</v>
      </c>
      <c r="LN33" s="243">
        <v>143</v>
      </c>
      <c r="LO33" s="243">
        <v>121</v>
      </c>
      <c r="LP33" s="243">
        <v>168</v>
      </c>
      <c r="LQ33" s="243">
        <v>107</v>
      </c>
      <c r="LR33" s="243">
        <v>124</v>
      </c>
      <c r="LS33" s="243">
        <v>0</v>
      </c>
      <c r="LT33" s="243">
        <v>87</v>
      </c>
      <c r="LU33" s="243">
        <v>119</v>
      </c>
      <c r="LV33" s="194">
        <v>95</v>
      </c>
      <c r="LW33" s="194">
        <v>132</v>
      </c>
      <c r="LX33" s="194">
        <v>125</v>
      </c>
      <c r="LY33" s="194">
        <v>138</v>
      </c>
      <c r="LZ33" s="194">
        <v>0</v>
      </c>
      <c r="MA33" s="243">
        <v>123</v>
      </c>
      <c r="MB33" s="118">
        <v>236</v>
      </c>
      <c r="MC33" s="118">
        <v>108</v>
      </c>
      <c r="MD33" s="118">
        <v>118</v>
      </c>
      <c r="ME33" s="118">
        <v>120</v>
      </c>
      <c r="MF33" s="118">
        <v>137</v>
      </c>
      <c r="MG33" s="118">
        <v>5</v>
      </c>
      <c r="MH33" s="118">
        <v>60</v>
      </c>
      <c r="MI33" s="118">
        <v>140</v>
      </c>
      <c r="MJ33" s="123">
        <v>114.7</v>
      </c>
      <c r="MK33" s="123">
        <v>102.69</v>
      </c>
      <c r="ML33" s="123">
        <v>104.95</v>
      </c>
      <c r="MM33" s="123">
        <v>83.42</v>
      </c>
      <c r="MN33" s="118"/>
      <c r="MO33" s="270">
        <v>152</v>
      </c>
      <c r="MP33" s="270">
        <v>125</v>
      </c>
      <c r="MQ33" s="270">
        <v>98</v>
      </c>
      <c r="MR33" s="270">
        <v>129</v>
      </c>
      <c r="MS33" s="270">
        <v>155</v>
      </c>
      <c r="MT33" s="270">
        <v>131</v>
      </c>
      <c r="MU33" s="270">
        <v>0</v>
      </c>
      <c r="MV33" s="270">
        <v>181</v>
      </c>
      <c r="MW33" s="270">
        <v>92</v>
      </c>
      <c r="MX33" s="270">
        <v>127</v>
      </c>
      <c r="MY33" s="270">
        <v>110</v>
      </c>
      <c r="MZ33" s="270">
        <v>99</v>
      </c>
      <c r="NA33" s="118">
        <v>130</v>
      </c>
      <c r="NB33" s="118">
        <v>0</v>
      </c>
      <c r="NC33" s="118">
        <v>123</v>
      </c>
      <c r="ND33" s="118">
        <v>163</v>
      </c>
      <c r="NE33" s="118">
        <v>122</v>
      </c>
      <c r="NF33" s="118">
        <v>175</v>
      </c>
      <c r="NG33" s="118">
        <v>172</v>
      </c>
      <c r="NH33" s="118">
        <v>117</v>
      </c>
      <c r="NI33" s="118">
        <v>0</v>
      </c>
      <c r="NJ33" s="118">
        <v>96</v>
      </c>
      <c r="NK33" s="118">
        <v>122</v>
      </c>
      <c r="NL33" s="118">
        <v>111</v>
      </c>
      <c r="NM33" s="118">
        <v>112</v>
      </c>
      <c r="NN33" s="118">
        <v>162</v>
      </c>
      <c r="NO33" s="118">
        <v>170</v>
      </c>
      <c r="NP33" s="118">
        <v>300</v>
      </c>
      <c r="NQ33" s="118">
        <v>0</v>
      </c>
      <c r="NR33" s="118"/>
      <c r="NS33" s="118"/>
      <c r="NW33" s="230" t="s">
        <v>6</v>
      </c>
      <c r="NX33" s="359">
        <f>NX15/NX24</f>
        <v>0.59953132421721222</v>
      </c>
      <c r="NY33" s="317">
        <f>NY15/NY24</f>
        <v>0.98982371510716138</v>
      </c>
      <c r="NZ33" s="317">
        <f>NZ15/NZ24</f>
        <v>0.66681429145889792</v>
      </c>
      <c r="OA33" s="317">
        <f>OA15/OA24</f>
        <v>0.65562432478425792</v>
      </c>
      <c r="OB33" s="317">
        <f>OB15/OB24</f>
        <v>0.49883886345199746</v>
      </c>
      <c r="OC33" s="317">
        <f>OC15/OC24</f>
        <v>0.50125977334820104</v>
      </c>
      <c r="OD33" s="317">
        <f>OD15/OD24</f>
        <v>0.62062648531368136</v>
      </c>
      <c r="OE33" s="317">
        <f>OE15/OE24</f>
        <v>0.48494356795483973</v>
      </c>
      <c r="OF33" s="317">
        <f>OF15/OF24</f>
        <v>0.54844138022980982</v>
      </c>
      <c r="OG33" s="317">
        <f>OG15/OG24</f>
        <v>0.43871470763756393</v>
      </c>
      <c r="OH33" s="317">
        <f>OH15/OH24</f>
        <v>0.33525956624526942</v>
      </c>
      <c r="OI33" s="317">
        <f>OI15/OI24</f>
        <v>0.52476110532698128</v>
      </c>
      <c r="OJ33" s="320">
        <f>OJ15/OJ24</f>
        <v>0.55299391629070904</v>
      </c>
      <c r="OK33" s="317">
        <f>OK15/OK24</f>
        <v>0.73358539350760665</v>
      </c>
      <c r="OL33" s="317">
        <f>OL15/OL24</f>
        <v>0.65875509101889385</v>
      </c>
      <c r="OM33" s="317">
        <f>OM15/OM24</f>
        <v>0.60308206361674099</v>
      </c>
      <c r="ON33" s="317">
        <f>ON15/ON24</f>
        <v>0.43302667804432626</v>
      </c>
      <c r="OP33">
        <v>1268</v>
      </c>
    </row>
    <row r="34" spans="2:436">
      <c r="B34" s="444"/>
      <c r="C34" s="407" t="s">
        <v>44</v>
      </c>
      <c r="D34" s="409"/>
      <c r="E34" s="410" t="s">
        <v>59</v>
      </c>
      <c r="F34" s="410">
        <f>IFERROR(F9/1000/N$10,0)</f>
        <v>0</v>
      </c>
      <c r="G34" s="410" t="s">
        <v>59</v>
      </c>
      <c r="H34" s="410"/>
      <c r="I34" s="410" t="s">
        <v>59</v>
      </c>
      <c r="J34" s="395">
        <f>IFERROR(J9/1000/N$4,0)</f>
        <v>0</v>
      </c>
      <c r="P34" s="189">
        <f t="shared" si="53"/>
        <v>0</v>
      </c>
      <c r="Q34" s="5" t="s">
        <v>10</v>
      </c>
      <c r="R34" s="148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39"/>
      <c r="BL34" s="239"/>
      <c r="BM34" s="239"/>
      <c r="BN34" s="239"/>
      <c r="BO34" s="239"/>
      <c r="BP34" s="239"/>
      <c r="BQ34" s="239"/>
      <c r="BR34" s="239"/>
      <c r="BS34" s="239"/>
      <c r="BT34" s="239"/>
      <c r="BU34" s="239"/>
      <c r="BV34" s="239"/>
      <c r="BW34" s="239"/>
      <c r="BX34" s="239"/>
      <c r="BY34" s="239"/>
      <c r="BZ34" s="65">
        <f>SUM(BZ35:BZ37)</f>
        <v>0</v>
      </c>
      <c r="CA34" s="66">
        <f t="shared" ref="CA34" si="382">SUM(CA35:CA37)</f>
        <v>0</v>
      </c>
      <c r="CB34" s="66">
        <f t="shared" ref="CB34" si="383">SUM(CB35:CB37)</f>
        <v>15.790505</v>
      </c>
      <c r="CC34" s="66">
        <f t="shared" ref="CC34" si="384">SUM(CC35:CC37)</f>
        <v>0</v>
      </c>
      <c r="CD34" s="66">
        <f t="shared" ref="CD34" si="385">SUM(CD35:CD37)</f>
        <v>26.5</v>
      </c>
      <c r="CE34" s="66">
        <f t="shared" ref="CE34" si="386">SUM(CE35:CE37)</f>
        <v>0</v>
      </c>
      <c r="CF34" s="66">
        <f t="shared" ref="CF34" si="387">SUM(CF35:CF37)</f>
        <v>0</v>
      </c>
      <c r="CG34" s="66">
        <f t="shared" ref="CG34" si="388">SUM(CG35:CG37)</f>
        <v>0</v>
      </c>
      <c r="CH34" s="66">
        <f t="shared" ref="CH34" si="389">SUM(CH35:CH37)</f>
        <v>0</v>
      </c>
      <c r="CI34" s="66">
        <f t="shared" ref="CI34" si="390">SUM(CI35:CI37)</f>
        <v>15.026954999999999</v>
      </c>
      <c r="CJ34" s="66">
        <f t="shared" ref="CJ34" si="391">SUM(CJ35:CJ37)</f>
        <v>0</v>
      </c>
      <c r="CK34" s="66">
        <f t="shared" ref="CK34" si="392">SUM(CK35:CK37)</f>
        <v>0</v>
      </c>
      <c r="CL34" s="66">
        <f t="shared" ref="CL34" si="393">SUM(CL35:CL37)</f>
        <v>17.785</v>
      </c>
      <c r="CM34" s="70">
        <f t="shared" ref="CM34" si="394">SUM(CM35:CM37)</f>
        <v>0</v>
      </c>
      <c r="CN34" s="70">
        <f t="shared" ref="CN34" si="395">SUM(CN35:CN37)</f>
        <v>0</v>
      </c>
      <c r="CO34" s="70">
        <f t="shared" ref="CO34" si="396">SUM(CO35:CO37)</f>
        <v>0</v>
      </c>
      <c r="CP34" s="66">
        <f t="shared" ref="CP34" si="397">SUM(CP35:CP37)</f>
        <v>0</v>
      </c>
      <c r="CQ34" s="70">
        <f t="shared" ref="CQ34" si="398">SUM(CQ35:CQ37)</f>
        <v>0</v>
      </c>
      <c r="CR34" s="70">
        <f t="shared" ref="CR34" si="399">SUM(CR35:CR37)</f>
        <v>0</v>
      </c>
      <c r="CS34" s="70">
        <f t="shared" ref="CS34" si="400">SUM(CS35:CS37)</f>
        <v>0</v>
      </c>
      <c r="CT34" s="70">
        <f t="shared" ref="CT34" si="401">SUM(CT35:CT37)</f>
        <v>0</v>
      </c>
      <c r="CU34" s="70">
        <f t="shared" ref="CU34" si="402">SUM(CU35:CU37)</f>
        <v>0</v>
      </c>
      <c r="CV34" s="70">
        <f t="shared" ref="CV34" si="403">SUM(CV35:CV37)</f>
        <v>0</v>
      </c>
      <c r="CW34" s="70">
        <f t="shared" ref="CW34" si="404">SUM(CW35:CW37)</f>
        <v>0</v>
      </c>
      <c r="CX34" s="70">
        <f t="shared" ref="CX34" si="405">SUM(CX35:CX37)</f>
        <v>0</v>
      </c>
      <c r="CY34" s="70">
        <f t="shared" ref="CY34" si="406">SUM(CY35:CY37)</f>
        <v>0</v>
      </c>
      <c r="CZ34" s="70">
        <f t="shared" ref="CZ34" si="407">SUM(CZ35:CZ37)</f>
        <v>0</v>
      </c>
      <c r="DA34" s="70">
        <f t="shared" ref="DA34" si="408">SUM(DA35:DA37)</f>
        <v>0</v>
      </c>
      <c r="DB34" s="70">
        <f t="shared" ref="DB34" si="409">SUM(DB35:DB37)</f>
        <v>0</v>
      </c>
      <c r="DC34" s="70">
        <f t="shared" ref="DC34" si="410">SUM(DC35:DC37)</f>
        <v>0</v>
      </c>
      <c r="DD34" s="71">
        <f t="shared" ref="DD34:DF34" si="411">SUM(DD35:DD37)</f>
        <v>0</v>
      </c>
      <c r="DE34" s="89">
        <f t="shared" si="411"/>
        <v>0</v>
      </c>
      <c r="DF34" s="89">
        <f t="shared" si="411"/>
        <v>0</v>
      </c>
      <c r="DG34" s="71">
        <f t="shared" ref="DG34:EG34" si="412">SUM(DG35:DG37)</f>
        <v>0</v>
      </c>
      <c r="DH34" s="71">
        <f t="shared" si="412"/>
        <v>0</v>
      </c>
      <c r="DI34" s="71">
        <f t="shared" si="412"/>
        <v>0</v>
      </c>
      <c r="DJ34" s="71">
        <f t="shared" si="412"/>
        <v>0</v>
      </c>
      <c r="DK34" s="71">
        <f t="shared" si="412"/>
        <v>0</v>
      </c>
      <c r="DL34" s="71">
        <f t="shared" si="412"/>
        <v>0</v>
      </c>
      <c r="DM34" s="71">
        <f t="shared" si="412"/>
        <v>0</v>
      </c>
      <c r="DN34" s="71">
        <f t="shared" si="412"/>
        <v>0</v>
      </c>
      <c r="DO34" s="71">
        <f t="shared" si="412"/>
        <v>0</v>
      </c>
      <c r="DP34" s="71">
        <f t="shared" si="412"/>
        <v>0</v>
      </c>
      <c r="DQ34" s="71">
        <f t="shared" si="412"/>
        <v>0</v>
      </c>
      <c r="DR34" s="71">
        <f t="shared" si="412"/>
        <v>0</v>
      </c>
      <c r="DS34" s="71">
        <f t="shared" si="412"/>
        <v>0</v>
      </c>
      <c r="DT34" s="71">
        <f t="shared" si="412"/>
        <v>0</v>
      </c>
      <c r="DU34" s="71">
        <f t="shared" si="412"/>
        <v>0</v>
      </c>
      <c r="DV34" s="71">
        <f t="shared" si="412"/>
        <v>0</v>
      </c>
      <c r="DW34" s="71">
        <f t="shared" si="412"/>
        <v>0</v>
      </c>
      <c r="DX34" s="71">
        <f t="shared" si="412"/>
        <v>0</v>
      </c>
      <c r="DY34" s="71">
        <f t="shared" si="412"/>
        <v>0</v>
      </c>
      <c r="DZ34" s="71">
        <f t="shared" si="412"/>
        <v>0</v>
      </c>
      <c r="EA34" s="71">
        <f t="shared" si="412"/>
        <v>0</v>
      </c>
      <c r="EB34" s="71">
        <f t="shared" si="412"/>
        <v>0</v>
      </c>
      <c r="EC34" s="71">
        <f t="shared" si="412"/>
        <v>0</v>
      </c>
      <c r="ED34" s="71">
        <f t="shared" si="412"/>
        <v>0</v>
      </c>
      <c r="EE34" s="71">
        <f t="shared" si="412"/>
        <v>0</v>
      </c>
      <c r="EF34" s="71">
        <f t="shared" si="412"/>
        <v>0</v>
      </c>
      <c r="EG34" s="71">
        <f t="shared" si="412"/>
        <v>0</v>
      </c>
      <c r="EH34" s="99">
        <f t="shared" ref="EH34:FE34" si="413">SUM(EH35:EH37)</f>
        <v>0</v>
      </c>
      <c r="EI34" s="157">
        <f t="shared" si="413"/>
        <v>0</v>
      </c>
      <c r="EJ34" s="99">
        <f t="shared" si="413"/>
        <v>0</v>
      </c>
      <c r="EK34" s="99">
        <f t="shared" si="413"/>
        <v>0</v>
      </c>
      <c r="EL34" s="99">
        <f t="shared" si="413"/>
        <v>0</v>
      </c>
      <c r="EM34" s="99">
        <f t="shared" si="413"/>
        <v>0</v>
      </c>
      <c r="EN34" s="99">
        <f t="shared" si="413"/>
        <v>0</v>
      </c>
      <c r="EO34" s="99">
        <f t="shared" si="413"/>
        <v>0</v>
      </c>
      <c r="EP34" s="99">
        <f t="shared" si="413"/>
        <v>0</v>
      </c>
      <c r="EQ34" s="99">
        <f t="shared" si="413"/>
        <v>0</v>
      </c>
      <c r="ER34" s="99">
        <f t="shared" si="413"/>
        <v>0</v>
      </c>
      <c r="ES34" s="99">
        <f t="shared" si="413"/>
        <v>0</v>
      </c>
      <c r="ET34" s="99">
        <f t="shared" si="413"/>
        <v>0</v>
      </c>
      <c r="EU34" s="99">
        <f t="shared" si="413"/>
        <v>0</v>
      </c>
      <c r="EV34" s="99">
        <f t="shared" si="413"/>
        <v>0</v>
      </c>
      <c r="EW34" s="99">
        <f t="shared" si="413"/>
        <v>0</v>
      </c>
      <c r="EX34" s="99">
        <f t="shared" si="413"/>
        <v>0</v>
      </c>
      <c r="EY34" s="99">
        <f t="shared" si="413"/>
        <v>0</v>
      </c>
      <c r="EZ34" s="99">
        <f t="shared" si="413"/>
        <v>0</v>
      </c>
      <c r="FA34" s="99">
        <f t="shared" si="413"/>
        <v>739</v>
      </c>
      <c r="FB34" s="99">
        <f t="shared" si="413"/>
        <v>0</v>
      </c>
      <c r="FC34" s="99">
        <f t="shared" si="413"/>
        <v>0</v>
      </c>
      <c r="FD34" s="99">
        <f t="shared" si="413"/>
        <v>0</v>
      </c>
      <c r="FE34" s="99">
        <f t="shared" si="413"/>
        <v>0</v>
      </c>
      <c r="FF34" s="99">
        <f t="shared" ref="FF34:FH34" si="414">SUM(FF35:FF37)</f>
        <v>0</v>
      </c>
      <c r="FG34" s="99">
        <f t="shared" si="414"/>
        <v>72</v>
      </c>
      <c r="FH34" s="99">
        <f t="shared" si="414"/>
        <v>0</v>
      </c>
      <c r="FI34" s="99">
        <f t="shared" ref="FI34:FL34" si="415">SUM(FI35:FI37)</f>
        <v>0</v>
      </c>
      <c r="FJ34" s="99">
        <f t="shared" si="415"/>
        <v>0</v>
      </c>
      <c r="FK34" s="99">
        <f t="shared" si="415"/>
        <v>0</v>
      </c>
      <c r="FL34" s="99">
        <f t="shared" si="415"/>
        <v>0</v>
      </c>
      <c r="FM34" s="99">
        <f t="shared" ref="FM34" si="416">SUM(FM35:FM37)</f>
        <v>1093</v>
      </c>
      <c r="FN34" s="94">
        <f>SUM(FN35:FN37)</f>
        <v>0</v>
      </c>
      <c r="FO34" s="94">
        <f>SUM(FO35:FO37)</f>
        <v>0</v>
      </c>
      <c r="FP34" s="94">
        <f>SUM(FP35:FP37)</f>
        <v>0</v>
      </c>
      <c r="FQ34" s="94">
        <f t="shared" ref="FQ34" si="417">SUM(FQ35:FQ37)</f>
        <v>0</v>
      </c>
      <c r="FR34" s="94">
        <f t="shared" ref="FR34" si="418">SUM(FR35:FR37)</f>
        <v>0</v>
      </c>
      <c r="FS34" s="94">
        <f t="shared" ref="FS34" si="419">SUM(FS35:FS37)</f>
        <v>0</v>
      </c>
      <c r="FT34" s="94">
        <f t="shared" ref="FT34" si="420">SUM(FT35:FT37)</f>
        <v>0</v>
      </c>
      <c r="FU34" s="94">
        <f t="shared" ref="FU34" si="421">SUM(FU35:FU37)</f>
        <v>0</v>
      </c>
      <c r="FV34" s="94">
        <f t="shared" ref="FV34" si="422">SUM(FV35:FV37)</f>
        <v>488</v>
      </c>
      <c r="FW34" s="94">
        <f t="shared" ref="FW34" si="423">SUM(FW35:FW37)</f>
        <v>0</v>
      </c>
      <c r="FX34" s="94">
        <f t="shared" ref="FX34" si="424">SUM(FX35:FX37)</f>
        <v>0</v>
      </c>
      <c r="FY34" s="94">
        <f t="shared" ref="FY34" si="425">SUM(FY35:FY37)</f>
        <v>0</v>
      </c>
      <c r="FZ34" s="94">
        <f t="shared" ref="FZ34" si="426">SUM(FZ35:FZ37)</f>
        <v>0</v>
      </c>
      <c r="GA34" s="94">
        <f t="shared" ref="GA34" si="427">SUM(GA35:GA37)</f>
        <v>0</v>
      </c>
      <c r="GB34" s="94">
        <f t="shared" ref="GB34" si="428">SUM(GB35:GB37)</f>
        <v>0</v>
      </c>
      <c r="GC34" s="94">
        <f>SUM(GC35:GC37)</f>
        <v>894</v>
      </c>
      <c r="GD34" s="94">
        <f t="shared" ref="GD34" si="429">SUM(GD35:GD37)</f>
        <v>0</v>
      </c>
      <c r="GE34" s="94">
        <f t="shared" ref="GE34" si="430">SUM(GE35:GE37)</f>
        <v>0</v>
      </c>
      <c r="GF34" s="94">
        <f t="shared" ref="GF34" si="431">SUM(GF35:GF37)</f>
        <v>0</v>
      </c>
      <c r="GG34" s="94">
        <f t="shared" ref="GG34" si="432">SUM(GG35:GG37)</f>
        <v>0</v>
      </c>
      <c r="GH34" s="94">
        <f t="shared" ref="GH34" si="433">SUM(GH35:GH37)</f>
        <v>0</v>
      </c>
      <c r="GI34" s="94">
        <f t="shared" ref="GI34" si="434">SUM(GI35:GI37)</f>
        <v>0</v>
      </c>
      <c r="GJ34" s="94">
        <f t="shared" ref="GJ34" si="435">SUM(GJ35:GJ37)</f>
        <v>0</v>
      </c>
      <c r="GK34" s="94">
        <f t="shared" ref="GK34" si="436">SUM(GK35:GK37)</f>
        <v>0</v>
      </c>
      <c r="GL34" s="94">
        <f t="shared" ref="GL34" si="437">SUM(GL35:GL37)</f>
        <v>0</v>
      </c>
      <c r="GM34" s="94">
        <f t="shared" ref="GM34" si="438">SUM(GM35:GM37)</f>
        <v>0</v>
      </c>
      <c r="GN34" s="94">
        <f t="shared" ref="GN34" si="439">SUM(GN35:GN37)</f>
        <v>1589</v>
      </c>
      <c r="GO34" s="94">
        <f t="shared" ref="GO34" si="440">SUM(GO35:GO37)</f>
        <v>0</v>
      </c>
      <c r="GP34" s="94">
        <f t="shared" ref="GP34:HW34" si="441">SUM(GP35:GP37)</f>
        <v>0</v>
      </c>
      <c r="GQ34" s="94">
        <f t="shared" ref="GQ34:HU34" si="442">SUM(GQ35:GQ37)</f>
        <v>0</v>
      </c>
      <c r="GR34" s="94">
        <f t="shared" si="441"/>
        <v>0</v>
      </c>
      <c r="GS34" s="94">
        <f t="shared" si="442"/>
        <v>0</v>
      </c>
      <c r="GT34" s="94">
        <f t="shared" si="441"/>
        <v>0</v>
      </c>
      <c r="GU34" s="94">
        <f t="shared" si="442"/>
        <v>0</v>
      </c>
      <c r="GV34" s="94">
        <f t="shared" si="441"/>
        <v>0</v>
      </c>
      <c r="GW34" s="94">
        <f t="shared" si="442"/>
        <v>0</v>
      </c>
      <c r="GX34" s="94">
        <f t="shared" si="441"/>
        <v>0</v>
      </c>
      <c r="GY34" s="94">
        <f t="shared" si="442"/>
        <v>0</v>
      </c>
      <c r="GZ34" s="94">
        <f t="shared" si="441"/>
        <v>0</v>
      </c>
      <c r="HA34" s="94">
        <f t="shared" si="442"/>
        <v>0</v>
      </c>
      <c r="HB34" s="94">
        <f t="shared" si="441"/>
        <v>0</v>
      </c>
      <c r="HC34" s="94">
        <f t="shared" si="442"/>
        <v>0</v>
      </c>
      <c r="HD34" s="94">
        <f t="shared" si="441"/>
        <v>0</v>
      </c>
      <c r="HE34" s="94">
        <f t="shared" si="442"/>
        <v>427</v>
      </c>
      <c r="HF34" s="94">
        <f t="shared" si="441"/>
        <v>0</v>
      </c>
      <c r="HG34" s="94">
        <f t="shared" si="442"/>
        <v>0</v>
      </c>
      <c r="HH34" s="94">
        <f t="shared" si="441"/>
        <v>0</v>
      </c>
      <c r="HI34" s="94">
        <f t="shared" si="442"/>
        <v>0</v>
      </c>
      <c r="HJ34" s="94">
        <f t="shared" si="441"/>
        <v>0</v>
      </c>
      <c r="HK34" s="94">
        <f t="shared" si="442"/>
        <v>0</v>
      </c>
      <c r="HL34" s="94">
        <f t="shared" si="441"/>
        <v>0</v>
      </c>
      <c r="HM34" s="94">
        <f t="shared" si="442"/>
        <v>0</v>
      </c>
      <c r="HN34" s="94">
        <f t="shared" si="441"/>
        <v>1099</v>
      </c>
      <c r="HO34" s="94">
        <f t="shared" si="442"/>
        <v>0</v>
      </c>
      <c r="HP34" s="94">
        <f t="shared" si="441"/>
        <v>0</v>
      </c>
      <c r="HQ34" s="94">
        <f t="shared" si="442"/>
        <v>0</v>
      </c>
      <c r="HR34" s="94">
        <f t="shared" si="441"/>
        <v>0</v>
      </c>
      <c r="HS34" s="94">
        <f t="shared" si="442"/>
        <v>0</v>
      </c>
      <c r="HT34" s="94">
        <f t="shared" si="441"/>
        <v>0</v>
      </c>
      <c r="HU34" s="94">
        <f t="shared" si="442"/>
        <v>0</v>
      </c>
      <c r="HV34" s="94">
        <f t="shared" si="441"/>
        <v>0</v>
      </c>
      <c r="HW34" s="94">
        <f t="shared" si="441"/>
        <v>0</v>
      </c>
      <c r="HX34" s="94">
        <f t="shared" ref="HX34:IY34" si="443">SUM(HX35:HX37)</f>
        <v>0</v>
      </c>
      <c r="HY34" s="94">
        <f t="shared" si="443"/>
        <v>0</v>
      </c>
      <c r="HZ34" s="94">
        <f t="shared" si="443"/>
        <v>0</v>
      </c>
      <c r="IA34" s="94">
        <f t="shared" si="443"/>
        <v>0</v>
      </c>
      <c r="IB34" s="94">
        <f t="shared" si="443"/>
        <v>0</v>
      </c>
      <c r="IC34" s="94">
        <f t="shared" si="443"/>
        <v>0</v>
      </c>
      <c r="ID34" s="94">
        <f t="shared" si="443"/>
        <v>0</v>
      </c>
      <c r="IE34" s="94">
        <f t="shared" si="443"/>
        <v>0</v>
      </c>
      <c r="IF34" s="94">
        <f t="shared" si="443"/>
        <v>479</v>
      </c>
      <c r="IG34" s="94">
        <v>236.49</v>
      </c>
      <c r="IH34" s="94">
        <v>175.92</v>
      </c>
      <c r="II34" s="94">
        <v>158.34</v>
      </c>
      <c r="IJ34" s="94">
        <v>188.46</v>
      </c>
      <c r="IK34" s="94">
        <f t="shared" si="443"/>
        <v>0</v>
      </c>
      <c r="IL34" s="94">
        <f t="shared" si="443"/>
        <v>0</v>
      </c>
      <c r="IM34" s="94">
        <f t="shared" si="443"/>
        <v>0</v>
      </c>
      <c r="IN34" s="94">
        <f t="shared" si="443"/>
        <v>0</v>
      </c>
      <c r="IO34" s="94">
        <f t="shared" si="443"/>
        <v>0</v>
      </c>
      <c r="IP34" s="94">
        <f t="shared" si="443"/>
        <v>0</v>
      </c>
      <c r="IQ34" s="94">
        <f t="shared" si="443"/>
        <v>0</v>
      </c>
      <c r="IR34" s="94">
        <f t="shared" si="443"/>
        <v>0</v>
      </c>
      <c r="IS34" s="94">
        <f t="shared" si="443"/>
        <v>0</v>
      </c>
      <c r="IT34" s="94">
        <f t="shared" si="443"/>
        <v>0</v>
      </c>
      <c r="IU34" s="94">
        <f t="shared" si="443"/>
        <v>0</v>
      </c>
      <c r="IV34" s="94">
        <f t="shared" si="443"/>
        <v>0</v>
      </c>
      <c r="IW34" s="94">
        <f t="shared" si="443"/>
        <v>0</v>
      </c>
      <c r="IX34" s="94">
        <f t="shared" si="443"/>
        <v>0</v>
      </c>
      <c r="IY34" s="94">
        <f t="shared" si="443"/>
        <v>0</v>
      </c>
      <c r="IZ34" s="94">
        <f t="shared" ref="IZ34:JA34" si="444">SUM(IZ35:IZ37)</f>
        <v>0</v>
      </c>
      <c r="JA34" s="94">
        <f t="shared" si="444"/>
        <v>1490</v>
      </c>
      <c r="JB34" s="94">
        <f t="shared" ref="JB34:LJ34" si="445">SUM(JB35:JB37)</f>
        <v>0</v>
      </c>
      <c r="JC34" s="94">
        <f t="shared" si="445"/>
        <v>0</v>
      </c>
      <c r="JD34" s="94">
        <f t="shared" si="445"/>
        <v>0</v>
      </c>
      <c r="JE34" s="94">
        <f t="shared" si="445"/>
        <v>0</v>
      </c>
      <c r="JF34" s="94">
        <f t="shared" si="445"/>
        <v>0</v>
      </c>
      <c r="JG34" s="94">
        <f t="shared" si="445"/>
        <v>0</v>
      </c>
      <c r="JH34" s="94">
        <f t="shared" si="445"/>
        <v>0</v>
      </c>
      <c r="JI34" s="94">
        <f t="shared" si="445"/>
        <v>0</v>
      </c>
      <c r="JJ34" s="94">
        <f t="shared" si="445"/>
        <v>0</v>
      </c>
      <c r="JK34" s="94">
        <f t="shared" si="445"/>
        <v>0</v>
      </c>
      <c r="JL34" s="94">
        <f t="shared" si="445"/>
        <v>0</v>
      </c>
      <c r="JM34" s="94">
        <f t="shared" si="445"/>
        <v>0</v>
      </c>
      <c r="JN34" s="94">
        <f t="shared" si="445"/>
        <v>0</v>
      </c>
      <c r="JO34" s="94">
        <f t="shared" si="445"/>
        <v>199</v>
      </c>
      <c r="JP34" s="94">
        <f t="shared" si="445"/>
        <v>0</v>
      </c>
      <c r="JQ34" s="94">
        <f t="shared" si="445"/>
        <v>0</v>
      </c>
      <c r="JR34" s="94">
        <f t="shared" si="445"/>
        <v>0</v>
      </c>
      <c r="JS34" s="94">
        <f t="shared" si="445"/>
        <v>0</v>
      </c>
      <c r="JT34" s="94">
        <f t="shared" si="445"/>
        <v>0</v>
      </c>
      <c r="JU34" s="94">
        <f t="shared" si="445"/>
        <v>0</v>
      </c>
      <c r="JV34" s="94">
        <f t="shared" si="445"/>
        <v>0</v>
      </c>
      <c r="JW34" s="94">
        <f t="shared" si="445"/>
        <v>0</v>
      </c>
      <c r="JX34" s="94">
        <f t="shared" si="445"/>
        <v>0</v>
      </c>
      <c r="JY34" s="94">
        <f t="shared" si="445"/>
        <v>0</v>
      </c>
      <c r="JZ34" s="94">
        <f t="shared" si="445"/>
        <v>0</v>
      </c>
      <c r="KA34" s="94">
        <f t="shared" si="445"/>
        <v>0</v>
      </c>
      <c r="KB34" s="94">
        <f t="shared" si="445"/>
        <v>0</v>
      </c>
      <c r="KC34" s="94">
        <f t="shared" si="445"/>
        <v>0</v>
      </c>
      <c r="KD34" s="94">
        <f t="shared" si="445"/>
        <v>0</v>
      </c>
      <c r="KE34" s="94">
        <f t="shared" si="445"/>
        <v>0</v>
      </c>
      <c r="KF34" s="94">
        <f t="shared" si="445"/>
        <v>0</v>
      </c>
      <c r="KG34" s="94">
        <f t="shared" si="445"/>
        <v>0</v>
      </c>
      <c r="KH34" s="94">
        <f t="shared" si="445"/>
        <v>0</v>
      </c>
      <c r="KI34" s="94">
        <f t="shared" si="445"/>
        <v>0</v>
      </c>
      <c r="KJ34" s="94">
        <f t="shared" si="445"/>
        <v>0</v>
      </c>
      <c r="KK34" s="94">
        <f t="shared" si="445"/>
        <v>0</v>
      </c>
      <c r="KL34" s="94">
        <f t="shared" si="445"/>
        <v>0</v>
      </c>
      <c r="KM34" s="94">
        <f t="shared" si="445"/>
        <v>0</v>
      </c>
      <c r="KN34" s="94">
        <f t="shared" si="445"/>
        <v>0</v>
      </c>
      <c r="KO34" s="94">
        <f t="shared" si="445"/>
        <v>0</v>
      </c>
      <c r="KP34" s="94">
        <f t="shared" si="445"/>
        <v>0</v>
      </c>
      <c r="KQ34" s="94">
        <f t="shared" si="445"/>
        <v>383</v>
      </c>
      <c r="KR34" s="94">
        <f t="shared" si="445"/>
        <v>0</v>
      </c>
      <c r="KS34" s="94">
        <f t="shared" si="445"/>
        <v>0</v>
      </c>
      <c r="KT34" s="94">
        <f t="shared" si="445"/>
        <v>0</v>
      </c>
      <c r="KU34" s="94">
        <f t="shared" si="445"/>
        <v>0</v>
      </c>
      <c r="KV34" s="94">
        <f t="shared" si="445"/>
        <v>0</v>
      </c>
      <c r="KW34" s="94">
        <f t="shared" si="445"/>
        <v>0</v>
      </c>
      <c r="KX34" s="94">
        <f t="shared" si="445"/>
        <v>0</v>
      </c>
      <c r="KY34" s="94">
        <f t="shared" si="445"/>
        <v>0</v>
      </c>
      <c r="KZ34" s="94">
        <f t="shared" si="445"/>
        <v>0</v>
      </c>
      <c r="LA34" s="94">
        <f t="shared" si="445"/>
        <v>0</v>
      </c>
      <c r="LB34" s="94">
        <f t="shared" si="445"/>
        <v>0</v>
      </c>
      <c r="LC34" s="94">
        <f t="shared" si="445"/>
        <v>0</v>
      </c>
      <c r="LD34" s="94">
        <f t="shared" si="445"/>
        <v>0</v>
      </c>
      <c r="LE34" s="94">
        <f t="shared" si="445"/>
        <v>0</v>
      </c>
      <c r="LF34" s="94">
        <f t="shared" si="445"/>
        <v>0</v>
      </c>
      <c r="LG34" s="94">
        <f t="shared" si="445"/>
        <v>0</v>
      </c>
      <c r="LH34" s="94">
        <f t="shared" si="445"/>
        <v>0</v>
      </c>
      <c r="LI34" s="94">
        <f t="shared" si="445"/>
        <v>0</v>
      </c>
      <c r="LJ34" s="94">
        <f t="shared" si="445"/>
        <v>0</v>
      </c>
      <c r="LK34" s="94">
        <f t="shared" ref="LK34:NS34" si="446">SUM(LK35:LK37)</f>
        <v>0</v>
      </c>
      <c r="LL34" s="94">
        <f t="shared" si="446"/>
        <v>0</v>
      </c>
      <c r="LM34" s="94">
        <f t="shared" si="446"/>
        <v>0</v>
      </c>
      <c r="LN34" s="94">
        <f t="shared" si="446"/>
        <v>0</v>
      </c>
      <c r="LO34" s="94">
        <f t="shared" si="446"/>
        <v>0</v>
      </c>
      <c r="LP34" s="94">
        <f t="shared" si="446"/>
        <v>0</v>
      </c>
      <c r="LQ34" s="94">
        <f t="shared" si="446"/>
        <v>0</v>
      </c>
      <c r="LR34" s="94">
        <f t="shared" si="446"/>
        <v>0</v>
      </c>
      <c r="LS34" s="94">
        <f t="shared" si="446"/>
        <v>0</v>
      </c>
      <c r="LT34" s="94">
        <f t="shared" si="446"/>
        <v>0</v>
      </c>
      <c r="LU34" s="94">
        <f t="shared" si="446"/>
        <v>447</v>
      </c>
      <c r="LV34" s="94">
        <f t="shared" si="446"/>
        <v>0</v>
      </c>
      <c r="LW34" s="94">
        <f t="shared" si="446"/>
        <v>0</v>
      </c>
      <c r="LX34" s="94">
        <f t="shared" si="446"/>
        <v>0</v>
      </c>
      <c r="LY34" s="94">
        <f t="shared" si="446"/>
        <v>0</v>
      </c>
      <c r="LZ34" s="94">
        <f t="shared" si="446"/>
        <v>0</v>
      </c>
      <c r="MA34" s="94">
        <f t="shared" si="446"/>
        <v>0</v>
      </c>
      <c r="MB34" s="94">
        <f t="shared" si="446"/>
        <v>0</v>
      </c>
      <c r="MC34" s="94">
        <f t="shared" si="446"/>
        <v>0</v>
      </c>
      <c r="MD34" s="94">
        <f t="shared" si="446"/>
        <v>0</v>
      </c>
      <c r="ME34" s="94">
        <f t="shared" si="446"/>
        <v>0</v>
      </c>
      <c r="MF34" s="94">
        <f t="shared" si="446"/>
        <v>910</v>
      </c>
      <c r="MG34" s="94">
        <f t="shared" si="446"/>
        <v>0</v>
      </c>
      <c r="MH34" s="94">
        <f t="shared" si="446"/>
        <v>0</v>
      </c>
      <c r="MI34" s="94">
        <f t="shared" si="446"/>
        <v>0</v>
      </c>
      <c r="MJ34" s="94">
        <f t="shared" si="446"/>
        <v>0</v>
      </c>
      <c r="MK34" s="94">
        <f t="shared" si="446"/>
        <v>0</v>
      </c>
      <c r="ML34" s="94">
        <f t="shared" si="446"/>
        <v>0</v>
      </c>
      <c r="MM34" s="94">
        <f t="shared" si="446"/>
        <v>0</v>
      </c>
      <c r="MN34" s="94">
        <f t="shared" si="446"/>
        <v>0</v>
      </c>
      <c r="MO34" s="94">
        <f t="shared" si="446"/>
        <v>0</v>
      </c>
      <c r="MP34" s="94">
        <f t="shared" si="446"/>
        <v>0</v>
      </c>
      <c r="MQ34" s="94">
        <f t="shared" si="446"/>
        <v>0</v>
      </c>
      <c r="MR34" s="94">
        <f t="shared" si="446"/>
        <v>0</v>
      </c>
      <c r="MS34" s="94">
        <f t="shared" si="446"/>
        <v>0</v>
      </c>
      <c r="MT34" s="94">
        <f t="shared" si="446"/>
        <v>0</v>
      </c>
      <c r="MU34" s="94">
        <f t="shared" si="446"/>
        <v>0</v>
      </c>
      <c r="MV34" s="94">
        <f t="shared" si="446"/>
        <v>320</v>
      </c>
      <c r="MW34" s="94">
        <f t="shared" si="446"/>
        <v>0</v>
      </c>
      <c r="MX34" s="94">
        <f t="shared" si="446"/>
        <v>0</v>
      </c>
      <c r="MY34" s="94">
        <f t="shared" si="446"/>
        <v>0</v>
      </c>
      <c r="MZ34" s="94">
        <f t="shared" si="446"/>
        <v>0</v>
      </c>
      <c r="NA34" s="94">
        <f t="shared" si="446"/>
        <v>0</v>
      </c>
      <c r="NB34" s="94">
        <f t="shared" si="446"/>
        <v>0</v>
      </c>
      <c r="NC34" s="94">
        <f t="shared" si="446"/>
        <v>0</v>
      </c>
      <c r="ND34" s="94">
        <f t="shared" si="446"/>
        <v>0</v>
      </c>
      <c r="NE34" s="94">
        <f t="shared" si="446"/>
        <v>465</v>
      </c>
      <c r="NF34" s="94">
        <f t="shared" si="446"/>
        <v>0</v>
      </c>
      <c r="NG34" s="94">
        <f t="shared" si="446"/>
        <v>0</v>
      </c>
      <c r="NH34" s="94">
        <f t="shared" si="446"/>
        <v>0</v>
      </c>
      <c r="NI34" s="94">
        <f t="shared" si="446"/>
        <v>0</v>
      </c>
      <c r="NJ34" s="94">
        <f t="shared" si="446"/>
        <v>0</v>
      </c>
      <c r="NK34" s="94">
        <f t="shared" si="446"/>
        <v>0</v>
      </c>
      <c r="NL34" s="94">
        <f t="shared" si="446"/>
        <v>0</v>
      </c>
      <c r="NM34" s="94">
        <f t="shared" si="446"/>
        <v>0</v>
      </c>
      <c r="NN34" s="94">
        <f t="shared" si="446"/>
        <v>0</v>
      </c>
      <c r="NO34" s="94">
        <f t="shared" si="446"/>
        <v>0</v>
      </c>
      <c r="NP34" s="94">
        <f t="shared" si="446"/>
        <v>0</v>
      </c>
      <c r="NQ34" s="94">
        <f t="shared" si="446"/>
        <v>0</v>
      </c>
      <c r="NR34" s="94">
        <f t="shared" si="446"/>
        <v>0</v>
      </c>
      <c r="NS34" s="94">
        <f t="shared" si="446"/>
        <v>0</v>
      </c>
      <c r="NW34" s="230" t="s">
        <v>5</v>
      </c>
      <c r="NX34" s="316">
        <f>NX16/NX25</f>
        <v>0.93515991241574969</v>
      </c>
      <c r="NY34" s="316">
        <f>NY16/NY25</f>
        <v>0.97074118194695391</v>
      </c>
      <c r="NZ34" s="316">
        <f>NZ16/NZ25</f>
        <v>0.98509367853654251</v>
      </c>
      <c r="OA34" s="316">
        <f>OA16/OA25</f>
        <v>0.86745186924276596</v>
      </c>
      <c r="OB34" s="316">
        <f>OB16/OB25</f>
        <v>0.87790679672117689</v>
      </c>
      <c r="OC34" s="316">
        <f>OC16/OC25</f>
        <v>0.85222179300017065</v>
      </c>
      <c r="OD34" s="316">
        <f>OD16/OD25</f>
        <v>0.93934110578512819</v>
      </c>
      <c r="OE34" s="316">
        <f>OE16/OE25</f>
        <v>0.94092096051985208</v>
      </c>
      <c r="OF34" s="316">
        <f>OF16/OF25</f>
        <v>0.90784930156345645</v>
      </c>
      <c r="OG34" s="316">
        <f>OG16/OG25</f>
        <v>0.94428746529922636</v>
      </c>
      <c r="OH34" s="316">
        <f>OH16/OH25</f>
        <v>0.83952027943289664</v>
      </c>
      <c r="OI34" s="316">
        <f>OI16/OI25</f>
        <v>0.89315522720183316</v>
      </c>
      <c r="OJ34" s="321">
        <f>OJ16/OJ25</f>
        <v>0.91036845550297574</v>
      </c>
      <c r="OK34" s="316">
        <f>OK16/OK25</f>
        <v>0.96597360206921778</v>
      </c>
      <c r="OL34" s="316">
        <f>OL16/OL25</f>
        <v>0.96255504704038708</v>
      </c>
      <c r="OM34" s="316">
        <f>OM16/OM25</f>
        <v>1.0310007645163968</v>
      </c>
      <c r="ON34" s="316">
        <f>ON16/ON25</f>
        <v>0.89259456986355268</v>
      </c>
      <c r="OP34" s="94">
        <f t="shared" ref="OP34:OR34" si="447">SUM(OP35:OP37)</f>
        <v>0</v>
      </c>
      <c r="OQ34" s="94">
        <f t="shared" si="447"/>
        <v>0</v>
      </c>
      <c r="OR34" s="94">
        <f t="shared" si="447"/>
        <v>0</v>
      </c>
      <c r="OS34" s="94">
        <f t="shared" ref="OP34:PT34" si="448">SUM(OS35:OS37)</f>
        <v>0</v>
      </c>
      <c r="OT34" s="94">
        <f t="shared" si="448"/>
        <v>0</v>
      </c>
      <c r="OU34" s="94">
        <f t="shared" si="448"/>
        <v>0</v>
      </c>
      <c r="OV34" s="94">
        <f t="shared" si="448"/>
        <v>0</v>
      </c>
      <c r="OW34" s="94">
        <f t="shared" si="448"/>
        <v>0</v>
      </c>
      <c r="OX34" s="94">
        <f t="shared" si="448"/>
        <v>0</v>
      </c>
      <c r="OY34" s="94">
        <f t="shared" si="448"/>
        <v>0</v>
      </c>
      <c r="OZ34" s="94">
        <f t="shared" si="448"/>
        <v>0</v>
      </c>
      <c r="PA34" s="94">
        <f t="shared" si="448"/>
        <v>0</v>
      </c>
      <c r="PB34" s="94">
        <f t="shared" si="448"/>
        <v>0</v>
      </c>
      <c r="PC34" s="94">
        <f t="shared" si="448"/>
        <v>0</v>
      </c>
      <c r="PD34" s="94">
        <f t="shared" si="448"/>
        <v>0</v>
      </c>
      <c r="PE34" s="94">
        <f t="shared" si="448"/>
        <v>0</v>
      </c>
      <c r="PF34" s="94">
        <f t="shared" si="448"/>
        <v>0</v>
      </c>
      <c r="PG34" s="94">
        <f t="shared" si="448"/>
        <v>0</v>
      </c>
      <c r="PH34" s="94">
        <f t="shared" si="448"/>
        <v>0</v>
      </c>
      <c r="PI34" s="94">
        <f t="shared" si="448"/>
        <v>0</v>
      </c>
      <c r="PJ34" s="94">
        <f t="shared" si="448"/>
        <v>0</v>
      </c>
      <c r="PK34" s="94">
        <f t="shared" si="448"/>
        <v>0</v>
      </c>
      <c r="PL34" s="94">
        <f t="shared" si="448"/>
        <v>0</v>
      </c>
      <c r="PM34" s="94">
        <f t="shared" si="448"/>
        <v>0</v>
      </c>
      <c r="PN34" s="94">
        <f t="shared" si="448"/>
        <v>0</v>
      </c>
      <c r="PO34" s="94">
        <f t="shared" si="448"/>
        <v>0</v>
      </c>
      <c r="PP34" s="94">
        <f t="shared" si="448"/>
        <v>0</v>
      </c>
      <c r="PQ34" s="94">
        <f t="shared" si="448"/>
        <v>0</v>
      </c>
      <c r="PR34" s="94">
        <f t="shared" si="448"/>
        <v>0</v>
      </c>
      <c r="PS34" s="94">
        <f t="shared" si="448"/>
        <v>0</v>
      </c>
      <c r="PT34" s="94">
        <f t="shared" si="448"/>
        <v>0</v>
      </c>
    </row>
    <row r="35" spans="2:436">
      <c r="P35" s="189">
        <f t="shared" si="53"/>
        <v>0</v>
      </c>
      <c r="Q35" s="144" t="s">
        <v>38</v>
      </c>
      <c r="R35" s="58" t="s">
        <v>39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100">
        <v>0</v>
      </c>
      <c r="CA35" s="100">
        <v>0</v>
      </c>
      <c r="CB35" s="100">
        <v>0</v>
      </c>
      <c r="CC35" s="100">
        <v>0</v>
      </c>
      <c r="CD35" s="100">
        <v>0</v>
      </c>
      <c r="CE35" s="100">
        <v>0</v>
      </c>
      <c r="CF35" s="100">
        <v>0</v>
      </c>
      <c r="CG35" s="100">
        <v>0</v>
      </c>
      <c r="CH35" s="100">
        <v>0</v>
      </c>
      <c r="CI35" s="100">
        <v>0</v>
      </c>
      <c r="CJ35" s="100">
        <v>0</v>
      </c>
      <c r="CK35" s="110">
        <v>0</v>
      </c>
      <c r="CL35" s="100">
        <v>0</v>
      </c>
      <c r="CM35" s="100">
        <v>0</v>
      </c>
      <c r="CN35" s="100">
        <v>0</v>
      </c>
      <c r="CO35" s="100">
        <v>0</v>
      </c>
      <c r="CP35" s="95">
        <v>0</v>
      </c>
      <c r="CQ35" s="100">
        <v>0</v>
      </c>
      <c r="CR35" s="100">
        <v>0</v>
      </c>
      <c r="CS35" s="100">
        <v>0</v>
      </c>
      <c r="CT35" s="100">
        <v>0</v>
      </c>
      <c r="CU35" s="100">
        <v>0</v>
      </c>
      <c r="CV35" s="100">
        <v>0</v>
      </c>
      <c r="CW35" s="100">
        <v>0</v>
      </c>
      <c r="CX35" s="100">
        <v>0</v>
      </c>
      <c r="CY35" s="100">
        <v>0</v>
      </c>
      <c r="CZ35" s="100">
        <v>0</v>
      </c>
      <c r="DA35" s="100">
        <v>0</v>
      </c>
      <c r="DB35" s="100">
        <v>0</v>
      </c>
      <c r="DC35" s="100">
        <v>0</v>
      </c>
      <c r="DD35" s="72">
        <v>0</v>
      </c>
      <c r="DE35" s="96">
        <v>0</v>
      </c>
      <c r="DF35" s="96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 s="101">
        <v>0</v>
      </c>
      <c r="EI35" s="101">
        <v>0</v>
      </c>
      <c r="EJ35" s="101">
        <v>0</v>
      </c>
      <c r="EK35" s="101">
        <v>0</v>
      </c>
      <c r="EL35" s="101">
        <v>0</v>
      </c>
      <c r="EM35" s="101">
        <v>0</v>
      </c>
      <c r="EN35" s="101">
        <v>0</v>
      </c>
      <c r="EO35" s="101">
        <v>0</v>
      </c>
      <c r="EP35" s="101">
        <v>0</v>
      </c>
      <c r="EQ35" s="101">
        <v>0</v>
      </c>
      <c r="ER35" s="101">
        <v>0</v>
      </c>
      <c r="ES35" s="101">
        <v>0</v>
      </c>
      <c r="ET35" s="101">
        <v>0</v>
      </c>
      <c r="EU35" s="101">
        <v>0</v>
      </c>
      <c r="EV35" s="101">
        <v>0</v>
      </c>
      <c r="EW35" s="101">
        <v>0</v>
      </c>
      <c r="EX35" s="101">
        <v>0</v>
      </c>
      <c r="EY35" s="101">
        <v>0</v>
      </c>
      <c r="EZ35" s="101">
        <v>0</v>
      </c>
      <c r="FA35" s="101">
        <v>0</v>
      </c>
      <c r="FB35" s="101">
        <v>0</v>
      </c>
      <c r="FC35" s="101">
        <v>0</v>
      </c>
      <c r="FD35" s="101">
        <v>0</v>
      </c>
      <c r="FE35" s="101">
        <v>0</v>
      </c>
      <c r="FF35" s="101">
        <v>0</v>
      </c>
      <c r="FG35" s="101">
        <v>0</v>
      </c>
      <c r="FH35" s="101">
        <v>0</v>
      </c>
      <c r="FI35" s="101">
        <v>0</v>
      </c>
      <c r="FJ35" s="101">
        <v>0</v>
      </c>
      <c r="FK35" s="101">
        <v>0</v>
      </c>
      <c r="FL35" s="101">
        <v>0</v>
      </c>
      <c r="FM35" s="101">
        <v>0</v>
      </c>
      <c r="NW35" s="230" t="s">
        <v>10</v>
      </c>
      <c r="NX35" s="317">
        <f>NX17/NX26</f>
        <v>0.814768694100937</v>
      </c>
      <c r="NY35" s="317">
        <f>NY17/NY26</f>
        <v>0.80661264058766846</v>
      </c>
      <c r="NZ35" s="317">
        <f>NZ17/NZ26</f>
        <v>0.8854907834488398</v>
      </c>
      <c r="OA35" s="317">
        <f>OA17/OA26</f>
        <v>0.68272384760292226</v>
      </c>
      <c r="OB35" s="317">
        <f>OB17/OB26</f>
        <v>0.47327441025526373</v>
      </c>
      <c r="OC35" s="317">
        <f>OC17/OC26</f>
        <v>0.62526267262077606</v>
      </c>
      <c r="OD35" s="317">
        <f>OD17/OD26</f>
        <v>0.58199487108372305</v>
      </c>
      <c r="OE35" s="317">
        <f>OE17/OE26</f>
        <v>0.5198550266575267</v>
      </c>
      <c r="OF35" s="317">
        <f>OF17/OF26</f>
        <v>0.30878454834410873</v>
      </c>
      <c r="OG35" s="317">
        <f>OG17/OG26</f>
        <v>0.36939356087601466</v>
      </c>
      <c r="OH35" s="317">
        <f>OH17/OH26</f>
        <v>0.36268145304715088</v>
      </c>
      <c r="OI35" s="317">
        <f>OI17/OI26</f>
        <v>0.3597511746661175</v>
      </c>
      <c r="OJ35" s="320">
        <f>OJ17/OJ26</f>
        <v>0.52999291018933092</v>
      </c>
      <c r="OK35" s="317">
        <f>OK17/OK26</f>
        <v>0.83834861302328478</v>
      </c>
      <c r="OL35" s="317">
        <f>OL17/OL26</f>
        <v>0.7261560806224292</v>
      </c>
      <c r="OM35" s="317">
        <f>OM17/OM26</f>
        <v>0.58986876116809206</v>
      </c>
      <c r="ON35" s="317">
        <f>ON17/ON26</f>
        <v>0.36398544550794892</v>
      </c>
    </row>
    <row r="36" spans="2:436">
      <c r="P36" s="189">
        <f t="shared" si="53"/>
        <v>0</v>
      </c>
      <c r="Q36" s="145"/>
      <c r="R36" s="59" t="s">
        <v>40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100">
        <v>0</v>
      </c>
      <c r="CA36" s="100">
        <v>0</v>
      </c>
      <c r="CB36" s="95">
        <v>15.790505</v>
      </c>
      <c r="CC36" s="95">
        <v>0</v>
      </c>
      <c r="CD36" s="95">
        <v>26.5</v>
      </c>
      <c r="CE36" s="95">
        <v>0</v>
      </c>
      <c r="CF36" s="95">
        <v>0</v>
      </c>
      <c r="CG36" s="95">
        <v>0</v>
      </c>
      <c r="CH36" s="95">
        <v>0</v>
      </c>
      <c r="CI36" s="95">
        <v>15.026954999999999</v>
      </c>
      <c r="CJ36" s="95">
        <v>0</v>
      </c>
      <c r="CK36" s="111">
        <v>0</v>
      </c>
      <c r="CL36" s="95">
        <v>17.785</v>
      </c>
      <c r="CM36" s="100">
        <v>0</v>
      </c>
      <c r="CN36" s="100">
        <v>0</v>
      </c>
      <c r="CO36" s="100">
        <v>0</v>
      </c>
      <c r="CP36" s="100">
        <v>0</v>
      </c>
      <c r="CQ36" s="100">
        <v>0</v>
      </c>
      <c r="CR36" s="100">
        <v>0</v>
      </c>
      <c r="CS36" s="100">
        <v>0</v>
      </c>
      <c r="CT36" s="100">
        <v>0</v>
      </c>
      <c r="CU36" s="100">
        <v>0</v>
      </c>
      <c r="CV36" s="100">
        <v>0</v>
      </c>
      <c r="CW36" s="100">
        <v>0</v>
      </c>
      <c r="CX36" s="100">
        <v>0</v>
      </c>
      <c r="CY36" s="100">
        <v>0</v>
      </c>
      <c r="CZ36" s="100">
        <v>0</v>
      </c>
      <c r="DA36" s="100">
        <v>0</v>
      </c>
      <c r="DB36" s="100">
        <v>0</v>
      </c>
      <c r="DC36" s="100">
        <v>0</v>
      </c>
      <c r="DD36" s="72">
        <v>0</v>
      </c>
      <c r="DE36" s="96">
        <v>0</v>
      </c>
      <c r="DF36" s="9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 s="101">
        <v>0</v>
      </c>
      <c r="EI36" s="101">
        <v>0</v>
      </c>
      <c r="EJ36" s="101">
        <v>0</v>
      </c>
      <c r="EK36" s="101">
        <v>0</v>
      </c>
      <c r="EL36" s="101">
        <v>0</v>
      </c>
      <c r="EM36" s="101"/>
      <c r="EN36" s="101">
        <v>0</v>
      </c>
      <c r="EO36" s="101">
        <v>0</v>
      </c>
      <c r="EP36" s="101">
        <v>0</v>
      </c>
      <c r="EQ36" s="101">
        <v>0</v>
      </c>
      <c r="ER36" s="101">
        <v>0</v>
      </c>
      <c r="ES36" s="101">
        <v>0</v>
      </c>
      <c r="ET36" s="101">
        <v>0</v>
      </c>
      <c r="EU36" s="101">
        <v>0</v>
      </c>
      <c r="EV36" s="101">
        <v>0</v>
      </c>
      <c r="EW36" s="101">
        <v>0</v>
      </c>
      <c r="EX36" s="101">
        <v>0</v>
      </c>
      <c r="EY36" s="101">
        <v>0</v>
      </c>
      <c r="EZ36" s="101">
        <v>0</v>
      </c>
      <c r="FA36" s="101">
        <v>417</v>
      </c>
      <c r="FB36" s="101">
        <v>0</v>
      </c>
      <c r="FC36" s="101">
        <v>0</v>
      </c>
      <c r="FD36" s="101">
        <v>0</v>
      </c>
      <c r="FE36" s="101">
        <v>0</v>
      </c>
      <c r="FF36" s="101">
        <v>0</v>
      </c>
      <c r="FG36" s="101">
        <v>72</v>
      </c>
      <c r="FH36" s="101">
        <v>0</v>
      </c>
      <c r="FI36" s="101">
        <v>0</v>
      </c>
      <c r="FJ36" s="101">
        <v>0</v>
      </c>
      <c r="FK36" s="101">
        <v>0</v>
      </c>
      <c r="FL36" s="101">
        <v>0</v>
      </c>
      <c r="FM36" s="101">
        <v>661</v>
      </c>
      <c r="FV36">
        <v>425</v>
      </c>
      <c r="GC36">
        <v>638</v>
      </c>
      <c r="GN36">
        <v>1100</v>
      </c>
      <c r="HE36">
        <v>255</v>
      </c>
      <c r="HN36">
        <v>650</v>
      </c>
      <c r="IF36">
        <v>119</v>
      </c>
      <c r="JA36">
        <v>907</v>
      </c>
      <c r="JO36">
        <v>121</v>
      </c>
      <c r="KQ36">
        <v>303</v>
      </c>
      <c r="LU36">
        <v>325</v>
      </c>
      <c r="MF36">
        <v>605</v>
      </c>
      <c r="MV36">
        <v>235</v>
      </c>
      <c r="NE36">
        <v>315</v>
      </c>
      <c r="NW36" s="230" t="s">
        <v>9</v>
      </c>
      <c r="NX36" s="317">
        <f>NX18/NX27</f>
        <v>0.63237148501440044</v>
      </c>
      <c r="NY36" s="317">
        <f>NY18/NY27</f>
        <v>0.83770249170691835</v>
      </c>
      <c r="NZ36" s="317">
        <f>NZ18/NZ27</f>
        <v>0.78151512889540919</v>
      </c>
      <c r="OA36" s="317">
        <f>OA18/OA27</f>
        <v>0.68207253818968105</v>
      </c>
      <c r="OB36" s="317">
        <f>OB18/OB27</f>
        <v>0.70673556550040806</v>
      </c>
      <c r="OC36" s="317">
        <f>OC18/OC27</f>
        <v>0.78289043215650977</v>
      </c>
      <c r="OD36" s="317">
        <f>OD18/OD27</f>
        <v>0.72848494307271505</v>
      </c>
      <c r="OE36" s="317">
        <f>OE18/OE27</f>
        <v>0.57872559052839878</v>
      </c>
      <c r="OF36" s="317">
        <f>OF18/OF27</f>
        <v>0.74599067494413196</v>
      </c>
      <c r="OG36" s="317">
        <f>OG18/OG27</f>
        <v>0.68832662663124211</v>
      </c>
      <c r="OH36" s="317">
        <f>OH18/OH27</f>
        <v>0.8194706118777535</v>
      </c>
      <c r="OI36" s="317">
        <f>OI18/OI27</f>
        <v>0</v>
      </c>
      <c r="OJ36" s="320">
        <f>OJ18/OJ27</f>
        <v>0.66633955341485573</v>
      </c>
      <c r="OK36" s="317">
        <f>OK18/OK27</f>
        <v>0.75233322593252905</v>
      </c>
      <c r="OL36" s="317">
        <f>OL18/OL27</f>
        <v>0.77463708991619429</v>
      </c>
      <c r="OM36" s="317">
        <f>OM18/OM27</f>
        <v>0.64973387634169799</v>
      </c>
      <c r="ON36" s="317">
        <f>ON18/ON27</f>
        <v>0.51569044560597621</v>
      </c>
    </row>
    <row r="37" spans="2:436">
      <c r="P37" s="189">
        <f t="shared" si="53"/>
        <v>0</v>
      </c>
      <c r="Q37" s="147" t="s">
        <v>41</v>
      </c>
      <c r="R37" s="124" t="s">
        <v>42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100">
        <v>0</v>
      </c>
      <c r="CA37" s="100">
        <v>0</v>
      </c>
      <c r="CB37" s="100">
        <v>0</v>
      </c>
      <c r="CC37" s="100">
        <v>0</v>
      </c>
      <c r="CD37" s="100">
        <v>0</v>
      </c>
      <c r="CE37" s="100">
        <v>0</v>
      </c>
      <c r="CF37" s="100">
        <v>0</v>
      </c>
      <c r="CG37" s="100">
        <v>0</v>
      </c>
      <c r="CH37" s="100">
        <v>0</v>
      </c>
      <c r="CI37" s="100">
        <v>0</v>
      </c>
      <c r="CJ37" s="100">
        <v>0</v>
      </c>
      <c r="CK37" s="100">
        <v>0</v>
      </c>
      <c r="CL37" s="100">
        <v>0</v>
      </c>
      <c r="CM37" s="100">
        <v>0</v>
      </c>
      <c r="CN37" s="100">
        <v>0</v>
      </c>
      <c r="CO37" s="100">
        <v>0</v>
      </c>
      <c r="CP37" s="100">
        <v>0</v>
      </c>
      <c r="CQ37" s="100">
        <v>0</v>
      </c>
      <c r="CR37" s="100">
        <v>0</v>
      </c>
      <c r="CS37" s="100">
        <v>0</v>
      </c>
      <c r="CT37" s="100">
        <v>0</v>
      </c>
      <c r="CU37" s="100">
        <v>0</v>
      </c>
      <c r="CV37" s="100">
        <v>0</v>
      </c>
      <c r="CW37" s="100">
        <v>0</v>
      </c>
      <c r="CX37" s="100">
        <v>0</v>
      </c>
      <c r="CY37" s="100">
        <v>0</v>
      </c>
      <c r="CZ37" s="100">
        <v>0</v>
      </c>
      <c r="DA37" s="100">
        <v>0</v>
      </c>
      <c r="DB37" s="100">
        <v>0</v>
      </c>
      <c r="DC37" s="100">
        <v>0</v>
      </c>
      <c r="DD37" s="72">
        <v>0</v>
      </c>
      <c r="DE37" s="96">
        <v>0</v>
      </c>
      <c r="DF37" s="96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 s="101">
        <v>0</v>
      </c>
      <c r="EI37" s="101">
        <v>0</v>
      </c>
      <c r="EJ37" s="101">
        <v>0</v>
      </c>
      <c r="EK37" s="101">
        <v>0</v>
      </c>
      <c r="EL37" s="101">
        <v>0</v>
      </c>
      <c r="EM37" s="101">
        <v>0</v>
      </c>
      <c r="EN37" s="101">
        <v>0</v>
      </c>
      <c r="EO37" s="101">
        <v>0</v>
      </c>
      <c r="EP37" s="101">
        <v>0</v>
      </c>
      <c r="EQ37" s="101">
        <v>0</v>
      </c>
      <c r="ER37" s="101">
        <v>0</v>
      </c>
      <c r="ES37" s="101">
        <v>0</v>
      </c>
      <c r="ET37" s="101">
        <v>0</v>
      </c>
      <c r="EU37" s="101">
        <v>0</v>
      </c>
      <c r="EV37" s="101">
        <v>0</v>
      </c>
      <c r="EW37" s="101">
        <v>0</v>
      </c>
      <c r="EX37" s="101">
        <v>0</v>
      </c>
      <c r="EY37" s="101">
        <v>0</v>
      </c>
      <c r="EZ37" s="101">
        <v>0</v>
      </c>
      <c r="FA37" s="101">
        <v>322</v>
      </c>
      <c r="FB37" s="101">
        <v>0</v>
      </c>
      <c r="FC37" s="101">
        <v>0</v>
      </c>
      <c r="FD37" s="101">
        <v>0</v>
      </c>
      <c r="FE37" s="101">
        <v>0</v>
      </c>
      <c r="FF37" s="101">
        <v>0</v>
      </c>
      <c r="FG37" s="101">
        <v>0</v>
      </c>
      <c r="FH37" s="101">
        <v>0</v>
      </c>
      <c r="FI37" s="101">
        <v>0</v>
      </c>
      <c r="FJ37" s="101">
        <v>0</v>
      </c>
      <c r="FK37" s="101">
        <v>0</v>
      </c>
      <c r="FL37" s="101">
        <v>0</v>
      </c>
      <c r="FM37" s="101">
        <v>432</v>
      </c>
      <c r="FV37">
        <v>63</v>
      </c>
      <c r="GC37">
        <v>256</v>
      </c>
      <c r="GN37">
        <v>489</v>
      </c>
      <c r="GR37" s="118"/>
      <c r="GS37" s="118"/>
      <c r="GT37" s="118"/>
      <c r="GU37" s="118"/>
      <c r="GV37" s="118"/>
      <c r="GW37" s="118"/>
      <c r="GX37" s="118"/>
      <c r="GY37" s="118"/>
      <c r="GZ37" s="118"/>
      <c r="HA37" s="118"/>
      <c r="HB37" s="118"/>
      <c r="HC37" s="118"/>
      <c r="HD37" s="118"/>
      <c r="HE37" s="118">
        <v>172</v>
      </c>
      <c r="HF37" s="118"/>
      <c r="HG37" s="118"/>
      <c r="HH37" s="118"/>
      <c r="HI37" s="118"/>
      <c r="HJ37" s="118"/>
      <c r="HK37" s="118"/>
      <c r="HL37" s="118"/>
      <c r="HM37" s="118"/>
      <c r="HN37" s="118">
        <v>449</v>
      </c>
      <c r="HO37" s="118"/>
      <c r="HP37" s="118"/>
      <c r="HQ37" s="118"/>
      <c r="HR37" s="118"/>
      <c r="HS37" s="118"/>
      <c r="HT37" s="118"/>
      <c r="HU37" s="118"/>
      <c r="HV37" s="118"/>
      <c r="HW37" s="118"/>
      <c r="HX37" s="118"/>
      <c r="HY37" s="118"/>
      <c r="HZ37" s="118"/>
      <c r="IA37" s="118"/>
      <c r="IB37" s="118"/>
      <c r="IC37" s="118"/>
      <c r="ID37" s="118"/>
      <c r="IE37" s="118"/>
      <c r="IF37" s="118">
        <v>360</v>
      </c>
      <c r="IG37" s="118"/>
      <c r="IH37" s="118"/>
      <c r="II37" s="118"/>
      <c r="IJ37" s="118"/>
      <c r="IK37" s="118"/>
      <c r="IL37" s="118"/>
      <c r="IM37" s="118"/>
      <c r="IN37" s="118"/>
      <c r="IO37" s="118"/>
      <c r="IP37" s="118"/>
      <c r="IQ37" s="118"/>
      <c r="IR37" s="118"/>
      <c r="IS37" s="118"/>
      <c r="IT37" s="118"/>
      <c r="IU37" s="118"/>
      <c r="IV37" s="118"/>
      <c r="IW37" s="118"/>
      <c r="IX37" s="118"/>
      <c r="IY37" s="118"/>
      <c r="IZ37" s="118"/>
      <c r="JA37" s="118">
        <v>583</v>
      </c>
      <c r="JB37" s="118"/>
      <c r="JC37" s="118"/>
      <c r="JD37" s="118"/>
      <c r="JE37" s="118"/>
      <c r="JF37" s="118"/>
      <c r="JG37" s="118"/>
      <c r="JH37" s="118"/>
      <c r="JI37" s="118"/>
      <c r="JJ37" s="118"/>
      <c r="JK37" s="118"/>
      <c r="JL37" s="118"/>
      <c r="JM37" s="118"/>
      <c r="JN37" s="118"/>
      <c r="JO37" s="118">
        <v>78</v>
      </c>
      <c r="JP37" s="118"/>
      <c r="JQ37" s="118"/>
      <c r="JR37" s="118"/>
      <c r="JS37" s="118"/>
      <c r="JT37" s="118"/>
      <c r="JU37" s="118"/>
      <c r="JV37" s="118"/>
      <c r="JW37" s="118"/>
      <c r="JX37" s="118"/>
      <c r="JY37" s="118"/>
      <c r="JZ37" s="118"/>
      <c r="KA37" s="118"/>
      <c r="KB37" s="118"/>
      <c r="KC37" s="118"/>
      <c r="KD37" s="118"/>
      <c r="KE37" s="118"/>
      <c r="KF37" s="118"/>
      <c r="KG37" s="118"/>
      <c r="KH37" s="118"/>
      <c r="KI37" s="118"/>
      <c r="KJ37" s="118"/>
      <c r="KK37" s="118"/>
      <c r="KL37" s="118"/>
      <c r="KM37" s="118"/>
      <c r="KN37" s="118"/>
      <c r="KO37" s="118"/>
      <c r="KP37" s="118"/>
      <c r="KQ37" s="118">
        <v>80</v>
      </c>
      <c r="KR37" s="118"/>
      <c r="KS37" s="118"/>
      <c r="KT37" s="118"/>
      <c r="KU37" s="118"/>
      <c r="KV37" s="118"/>
      <c r="KW37" s="118"/>
      <c r="KX37" s="118"/>
      <c r="KY37" s="118"/>
      <c r="KZ37" s="118"/>
      <c r="LA37" s="118"/>
      <c r="LB37" s="118"/>
      <c r="LC37" s="118"/>
      <c r="LD37" s="118"/>
      <c r="LE37" s="118"/>
      <c r="LF37" s="118"/>
      <c r="LG37" s="118"/>
      <c r="LH37" s="118"/>
      <c r="LI37" s="118"/>
      <c r="LJ37" s="118"/>
      <c r="LK37" s="118"/>
      <c r="LL37" s="118"/>
      <c r="LM37" s="118"/>
      <c r="LN37" s="118"/>
      <c r="LO37" s="118"/>
      <c r="LP37" s="118"/>
      <c r="LQ37" s="118"/>
      <c r="LR37" s="118"/>
      <c r="LS37" s="118"/>
      <c r="LT37" s="118"/>
      <c r="LU37" s="118">
        <v>122</v>
      </c>
      <c r="LV37" s="118"/>
      <c r="LW37" s="118"/>
      <c r="LX37" s="118"/>
      <c r="LY37" s="118"/>
      <c r="LZ37" s="118"/>
      <c r="MA37" s="118"/>
      <c r="MB37" s="118"/>
      <c r="MC37" s="118"/>
      <c r="MD37" s="118"/>
      <c r="ME37" s="118"/>
      <c r="MF37" s="118">
        <v>305</v>
      </c>
      <c r="MG37" s="118"/>
      <c r="MH37" s="118"/>
      <c r="MI37" s="118"/>
      <c r="MJ37" s="118"/>
      <c r="MK37" s="118"/>
      <c r="ML37" s="118"/>
      <c r="MM37" s="118"/>
      <c r="MN37" s="118"/>
      <c r="MO37" s="118"/>
      <c r="MP37" s="118"/>
      <c r="MQ37" s="118"/>
      <c r="MR37" s="118"/>
      <c r="MS37" s="118"/>
      <c r="MT37" s="118"/>
      <c r="MU37" s="118"/>
      <c r="MV37" s="118">
        <v>85</v>
      </c>
      <c r="MW37" s="118"/>
      <c r="MX37" s="118"/>
      <c r="MY37" s="118"/>
      <c r="MZ37" s="118"/>
      <c r="NA37" s="118"/>
      <c r="NB37" s="118"/>
      <c r="NC37" s="118"/>
      <c r="ND37" s="118"/>
      <c r="NE37" s="118">
        <v>150</v>
      </c>
      <c r="NF37" s="118"/>
      <c r="NG37" s="118"/>
      <c r="NH37" s="118"/>
      <c r="NI37" s="118"/>
      <c r="NJ37" s="118"/>
      <c r="NK37" s="118"/>
      <c r="NL37" s="118"/>
      <c r="NM37" s="118"/>
      <c r="NN37" s="118"/>
      <c r="NO37" s="118"/>
      <c r="NP37" s="118"/>
      <c r="NQ37" s="118"/>
      <c r="NR37" s="118"/>
      <c r="NS37" s="118"/>
      <c r="NW37" s="230" t="s">
        <v>8</v>
      </c>
      <c r="NX37" s="316">
        <f>NX19/NX28</f>
        <v>0.76310635066162424</v>
      </c>
      <c r="NY37" s="316">
        <f>NY19/NY28</f>
        <v>0.69195927656859491</v>
      </c>
      <c r="NZ37" s="316">
        <f>NZ19/NZ28</f>
        <v>0.86015587852689968</v>
      </c>
      <c r="OA37" s="316">
        <f>OA19/OA28</f>
        <v>0.70444175948648158</v>
      </c>
      <c r="OB37" s="316">
        <f>OB19/OB28</f>
        <v>0.74435926437000444</v>
      </c>
      <c r="OC37" s="316">
        <f>OC19/OC28</f>
        <v>0.74105568763539609</v>
      </c>
      <c r="OD37" s="316">
        <f>OD19/OD28</f>
        <v>0.78254174488741524</v>
      </c>
      <c r="OE37" s="316">
        <f>OE19/OE28</f>
        <v>0.7284782448310918</v>
      </c>
      <c r="OF37" s="316">
        <f>OF19/OF28</f>
        <v>0.79748187485547839</v>
      </c>
      <c r="OG37" s="316">
        <f>OG19/OG28</f>
        <v>0.74684097489392309</v>
      </c>
      <c r="OH37" s="316">
        <f>OH19/OH28</f>
        <v>0.77170749768877056</v>
      </c>
      <c r="OI37" s="316">
        <f>OI19/OI28</f>
        <v>0.89623307529947227</v>
      </c>
      <c r="OJ37" s="321">
        <f>OJ19/OJ28</f>
        <v>0.7693145813338893</v>
      </c>
      <c r="OK37" s="316">
        <f>OK19/OK28</f>
        <v>0.77333890236188518</v>
      </c>
      <c r="OL37" s="316">
        <f>OL19/OL28</f>
        <v>0.78157387635641806</v>
      </c>
      <c r="OM37" s="316">
        <f>OM19/OM28</f>
        <v>0.75725748669363424</v>
      </c>
      <c r="ON37" s="316">
        <f>ON19/ON28</f>
        <v>0.80375863227833377</v>
      </c>
    </row>
    <row r="38" spans="2:436">
      <c r="P38" s="189">
        <f t="shared" si="53"/>
        <v>343</v>
      </c>
      <c r="Q38" s="5" t="s">
        <v>9</v>
      </c>
      <c r="R38" s="148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39"/>
      <c r="BL38" s="239"/>
      <c r="BM38" s="239"/>
      <c r="BN38" s="239"/>
      <c r="BO38" s="239"/>
      <c r="BP38" s="239"/>
      <c r="BQ38" s="239"/>
      <c r="BR38" s="239"/>
      <c r="BS38" s="239"/>
      <c r="BT38" s="239"/>
      <c r="BU38" s="239"/>
      <c r="BV38" s="239"/>
      <c r="BW38" s="239"/>
      <c r="BX38" s="239"/>
      <c r="BY38" s="239"/>
      <c r="BZ38" s="69">
        <f>SUM(BZ39:BZ41)</f>
        <v>0</v>
      </c>
      <c r="CA38" s="70">
        <f t="shared" ref="CA38" si="449">SUM(CA39:CA41)</f>
        <v>0</v>
      </c>
      <c r="CB38" s="70">
        <f t="shared" ref="CB38" si="450">SUM(CB39:CB41)</f>
        <v>0</v>
      </c>
      <c r="CC38" s="70">
        <f t="shared" ref="CC38" si="451">SUM(CC39:CC41)</f>
        <v>0</v>
      </c>
      <c r="CD38" s="70">
        <f t="shared" ref="CD38" si="452">SUM(CD39:CD41)</f>
        <v>0</v>
      </c>
      <c r="CE38" s="70">
        <f t="shared" ref="CE38" si="453">SUM(CE39:CE41)</f>
        <v>129</v>
      </c>
      <c r="CF38" s="70">
        <f t="shared" ref="CF38" si="454">SUM(CF39:CF41)</f>
        <v>0</v>
      </c>
      <c r="CG38" s="70">
        <f t="shared" ref="CG38" si="455">SUM(CG39:CG41)</f>
        <v>0</v>
      </c>
      <c r="CH38" s="70">
        <f t="shared" ref="CH38" si="456">SUM(CH39:CH41)</f>
        <v>0</v>
      </c>
      <c r="CI38" s="70">
        <f t="shared" ref="CI38" si="457">SUM(CI39:CI41)</f>
        <v>0</v>
      </c>
      <c r="CJ38" s="70">
        <f t="shared" ref="CJ38" si="458">SUM(CJ39:CJ41)</f>
        <v>0</v>
      </c>
      <c r="CK38" s="70">
        <f t="shared" ref="CK38" si="459">SUM(CK39:CK41)</f>
        <v>0</v>
      </c>
      <c r="CL38" s="70">
        <f t="shared" ref="CL38" si="460">SUM(CL39:CL41)</f>
        <v>0</v>
      </c>
      <c r="CM38" s="70">
        <f t="shared" ref="CM38" si="461">SUM(CM39:CM41)</f>
        <v>0</v>
      </c>
      <c r="CN38" s="70">
        <f t="shared" ref="CN38" si="462">SUM(CN39:CN41)</f>
        <v>0</v>
      </c>
      <c r="CO38" s="70">
        <f t="shared" ref="CO38" si="463">SUM(CO39:CO41)</f>
        <v>0</v>
      </c>
      <c r="CP38" s="70">
        <f t="shared" ref="CP38" si="464">SUM(CP39:CP41)</f>
        <v>0</v>
      </c>
      <c r="CQ38" s="70">
        <f t="shared" ref="CQ38" si="465">SUM(CQ39:CQ41)</f>
        <v>0</v>
      </c>
      <c r="CR38" s="70">
        <f t="shared" ref="CR38" si="466">SUM(CR39:CR41)</f>
        <v>0</v>
      </c>
      <c r="CS38" s="70">
        <f t="shared" ref="CS38" si="467">SUM(CS39:CS41)</f>
        <v>0</v>
      </c>
      <c r="CT38" s="70">
        <f t="shared" ref="CT38" si="468">SUM(CT39:CT41)</f>
        <v>0</v>
      </c>
      <c r="CU38" s="70">
        <f t="shared" ref="CU38" si="469">SUM(CU39:CU41)</f>
        <v>0</v>
      </c>
      <c r="CV38" s="70">
        <f t="shared" ref="CV38" si="470">SUM(CV39:CV41)</f>
        <v>0</v>
      </c>
      <c r="CW38" s="70">
        <f t="shared" ref="CW38" si="471">SUM(CW39:CW41)</f>
        <v>0</v>
      </c>
      <c r="CX38" s="70">
        <f t="shared" ref="CX38" si="472">SUM(CX39:CX41)</f>
        <v>0</v>
      </c>
      <c r="CY38" s="70">
        <f t="shared" ref="CY38" si="473">SUM(CY39:CY41)</f>
        <v>0</v>
      </c>
      <c r="CZ38" s="70">
        <f t="shared" ref="CZ38" si="474">SUM(CZ39:CZ41)</f>
        <v>0</v>
      </c>
      <c r="DA38" s="70">
        <f t="shared" ref="DA38" si="475">SUM(DA39:DA41)</f>
        <v>0</v>
      </c>
      <c r="DB38" s="70">
        <f t="shared" ref="DB38" si="476">SUM(DB39:DB41)</f>
        <v>0</v>
      </c>
      <c r="DC38" s="70">
        <f t="shared" ref="DC38" si="477">SUM(DC39:DC41)</f>
        <v>0</v>
      </c>
      <c r="DD38" s="71">
        <f t="shared" ref="DD38:DF38" si="478">SUM(DD39:DD41)</f>
        <v>0</v>
      </c>
      <c r="DE38" s="89">
        <f t="shared" si="478"/>
        <v>0</v>
      </c>
      <c r="DF38" s="89">
        <f t="shared" si="478"/>
        <v>0</v>
      </c>
      <c r="DG38" s="71">
        <f t="shared" ref="DG38:EG38" si="479">SUM(DG39:DG41)</f>
        <v>0</v>
      </c>
      <c r="DH38" s="71">
        <f t="shared" si="479"/>
        <v>0</v>
      </c>
      <c r="DI38" s="71">
        <f t="shared" si="479"/>
        <v>0</v>
      </c>
      <c r="DJ38" s="71">
        <f t="shared" si="479"/>
        <v>0</v>
      </c>
      <c r="DK38" s="71">
        <f t="shared" si="479"/>
        <v>0</v>
      </c>
      <c r="DL38" s="71">
        <f t="shared" si="479"/>
        <v>0</v>
      </c>
      <c r="DM38" s="71">
        <f t="shared" si="479"/>
        <v>0</v>
      </c>
      <c r="DN38" s="71">
        <f t="shared" si="479"/>
        <v>0</v>
      </c>
      <c r="DO38" s="71">
        <f t="shared" si="479"/>
        <v>0</v>
      </c>
      <c r="DP38" s="71">
        <f t="shared" si="479"/>
        <v>0</v>
      </c>
      <c r="DQ38" s="71">
        <f t="shared" si="479"/>
        <v>0</v>
      </c>
      <c r="DR38" s="71">
        <f t="shared" si="479"/>
        <v>0</v>
      </c>
      <c r="DS38" s="71">
        <f t="shared" si="479"/>
        <v>0</v>
      </c>
      <c r="DT38" s="71">
        <f t="shared" si="479"/>
        <v>0</v>
      </c>
      <c r="DU38" s="71">
        <f t="shared" si="479"/>
        <v>0</v>
      </c>
      <c r="DV38" s="71">
        <f t="shared" si="479"/>
        <v>0</v>
      </c>
      <c r="DW38" s="71">
        <f t="shared" si="479"/>
        <v>0</v>
      </c>
      <c r="DX38" s="71">
        <f t="shared" si="479"/>
        <v>0</v>
      </c>
      <c r="DY38" s="71">
        <f t="shared" si="479"/>
        <v>0</v>
      </c>
      <c r="DZ38" s="71">
        <f t="shared" si="479"/>
        <v>0</v>
      </c>
      <c r="EA38" s="71">
        <f t="shared" si="479"/>
        <v>0</v>
      </c>
      <c r="EB38" s="71">
        <f t="shared" si="479"/>
        <v>0</v>
      </c>
      <c r="EC38" s="71">
        <f t="shared" si="479"/>
        <v>0</v>
      </c>
      <c r="ED38" s="71">
        <f t="shared" si="479"/>
        <v>0</v>
      </c>
      <c r="EE38" s="71">
        <f t="shared" si="479"/>
        <v>0</v>
      </c>
      <c r="EF38" s="71">
        <f t="shared" si="479"/>
        <v>0</v>
      </c>
      <c r="EG38" s="71">
        <f t="shared" si="479"/>
        <v>0</v>
      </c>
      <c r="EH38" s="99">
        <f t="shared" ref="EH38:FE38" si="480">SUM(EH39:EH41)</f>
        <v>0</v>
      </c>
      <c r="EI38" s="99">
        <f t="shared" si="480"/>
        <v>0</v>
      </c>
      <c r="EJ38" s="99">
        <f t="shared" si="480"/>
        <v>0</v>
      </c>
      <c r="EK38" s="99">
        <f t="shared" si="480"/>
        <v>0</v>
      </c>
      <c r="EL38" s="99">
        <f t="shared" si="480"/>
        <v>0</v>
      </c>
      <c r="EM38" s="99">
        <f t="shared" si="480"/>
        <v>0</v>
      </c>
      <c r="EN38" s="99">
        <f t="shared" si="480"/>
        <v>0</v>
      </c>
      <c r="EO38" s="99">
        <f t="shared" si="480"/>
        <v>0</v>
      </c>
      <c r="EP38" s="99">
        <f t="shared" si="480"/>
        <v>0</v>
      </c>
      <c r="EQ38" s="99">
        <f t="shared" si="480"/>
        <v>0</v>
      </c>
      <c r="ER38" s="99">
        <f t="shared" si="480"/>
        <v>0</v>
      </c>
      <c r="ES38" s="99">
        <f t="shared" si="480"/>
        <v>0</v>
      </c>
      <c r="ET38" s="99">
        <f t="shared" si="480"/>
        <v>0</v>
      </c>
      <c r="EU38" s="99">
        <f t="shared" si="480"/>
        <v>0</v>
      </c>
      <c r="EV38" s="99">
        <f t="shared" si="480"/>
        <v>0</v>
      </c>
      <c r="EW38" s="99">
        <f t="shared" si="480"/>
        <v>0</v>
      </c>
      <c r="EX38" s="99">
        <f t="shared" si="480"/>
        <v>0</v>
      </c>
      <c r="EY38" s="99">
        <f t="shared" si="480"/>
        <v>0</v>
      </c>
      <c r="EZ38" s="99">
        <f t="shared" si="480"/>
        <v>0</v>
      </c>
      <c r="FA38" s="99">
        <f t="shared" si="480"/>
        <v>0</v>
      </c>
      <c r="FB38" s="99">
        <f t="shared" si="480"/>
        <v>0</v>
      </c>
      <c r="FC38" s="99">
        <f t="shared" si="480"/>
        <v>0</v>
      </c>
      <c r="FD38" s="99">
        <f t="shared" si="480"/>
        <v>0</v>
      </c>
      <c r="FE38" s="99">
        <f t="shared" si="480"/>
        <v>0</v>
      </c>
      <c r="FF38" s="99">
        <f t="shared" ref="FF38:FH38" si="481">SUM(FF39:FF41)</f>
        <v>0</v>
      </c>
      <c r="FG38" s="99">
        <f t="shared" si="481"/>
        <v>0</v>
      </c>
      <c r="FH38" s="99">
        <f t="shared" si="481"/>
        <v>0</v>
      </c>
      <c r="FI38" s="99">
        <f t="shared" ref="FI38:FL38" si="482">SUM(FI39:FI41)</f>
        <v>0</v>
      </c>
      <c r="FJ38" s="99">
        <f t="shared" si="482"/>
        <v>0</v>
      </c>
      <c r="FK38" s="99">
        <f t="shared" si="482"/>
        <v>0</v>
      </c>
      <c r="FL38" s="99">
        <f t="shared" si="482"/>
        <v>0</v>
      </c>
      <c r="FM38" s="99">
        <f t="shared" ref="FM38" si="483">SUM(FM39:FM41)</f>
        <v>0</v>
      </c>
      <c r="FN38" s="94">
        <f>SUM(FN39:FN41)</f>
        <v>0</v>
      </c>
      <c r="FO38" s="94">
        <f>SUM(FO39:FO41)</f>
        <v>0</v>
      </c>
      <c r="FP38" s="94">
        <f>SUM(FP39:FP41)</f>
        <v>0</v>
      </c>
      <c r="FQ38" s="94">
        <f t="shared" ref="FQ38" si="484">SUM(FQ39:FQ41)</f>
        <v>0</v>
      </c>
      <c r="FR38" s="94">
        <f t="shared" ref="FR38" si="485">SUM(FR39:FR41)</f>
        <v>0</v>
      </c>
      <c r="FS38" s="94">
        <f t="shared" ref="FS38" si="486">SUM(FS39:FS41)</f>
        <v>0</v>
      </c>
      <c r="FT38" s="94">
        <f t="shared" ref="FT38" si="487">SUM(FT39:FT41)</f>
        <v>0</v>
      </c>
      <c r="FU38" s="94">
        <f t="shared" ref="FU38" si="488">SUM(FU39:FU41)</f>
        <v>0</v>
      </c>
      <c r="FV38" s="94">
        <f t="shared" ref="FV38" si="489">SUM(FV39:FV41)</f>
        <v>0</v>
      </c>
      <c r="FW38" s="94">
        <f t="shared" ref="FW38" si="490">SUM(FW39:FW41)</f>
        <v>0</v>
      </c>
      <c r="FX38" s="94">
        <f t="shared" ref="FX38" si="491">SUM(FX39:FX41)</f>
        <v>0</v>
      </c>
      <c r="FY38" s="94">
        <f t="shared" ref="FY38" si="492">SUM(FY39:FY41)</f>
        <v>0</v>
      </c>
      <c r="FZ38" s="94">
        <f t="shared" ref="FZ38" si="493">SUM(FZ39:FZ41)</f>
        <v>0</v>
      </c>
      <c r="GA38" s="94">
        <f t="shared" ref="GA38" si="494">SUM(GA39:GA41)</f>
        <v>0</v>
      </c>
      <c r="GB38" s="94">
        <f t="shared" ref="GB38" si="495">SUM(GB39:GB41)</f>
        <v>0</v>
      </c>
      <c r="GC38" s="94">
        <f t="shared" ref="GC38" si="496">SUM(GC39:GC41)</f>
        <v>0</v>
      </c>
      <c r="GD38" s="94">
        <f t="shared" ref="GD38" si="497">SUM(GD39:GD41)</f>
        <v>0</v>
      </c>
      <c r="GE38" s="94">
        <f t="shared" ref="GE38" si="498">SUM(GE39:GE41)</f>
        <v>0</v>
      </c>
      <c r="GF38" s="94">
        <f t="shared" ref="GF38" si="499">SUM(GF39:GF41)</f>
        <v>0</v>
      </c>
      <c r="GG38" s="94">
        <f t="shared" ref="GG38" si="500">SUM(GG39:GG41)</f>
        <v>0</v>
      </c>
      <c r="GH38" s="94">
        <f t="shared" ref="GH38" si="501">SUM(GH39:GH41)</f>
        <v>0</v>
      </c>
      <c r="GI38" s="94">
        <f t="shared" ref="GI38" si="502">SUM(GI39:GI41)</f>
        <v>0</v>
      </c>
      <c r="GJ38" s="94">
        <f t="shared" ref="GJ38" si="503">SUM(GJ39:GJ41)</f>
        <v>0</v>
      </c>
      <c r="GK38" s="94">
        <f t="shared" ref="GK38" si="504">SUM(GK39:GK41)</f>
        <v>0</v>
      </c>
      <c r="GL38" s="94">
        <f t="shared" ref="GL38" si="505">SUM(GL39:GL41)</f>
        <v>0</v>
      </c>
      <c r="GM38" s="94">
        <f t="shared" ref="GM38" si="506">SUM(GM39:GM41)</f>
        <v>0</v>
      </c>
      <c r="GN38" s="94">
        <f t="shared" ref="GN38" si="507">SUM(GN39:GN41)</f>
        <v>0</v>
      </c>
      <c r="GO38" s="94">
        <f t="shared" ref="GO38" si="508">SUM(GO39:GO41)</f>
        <v>0</v>
      </c>
      <c r="GP38" s="94">
        <f t="shared" ref="GP38:HW38" si="509">SUM(GP39:GP41)</f>
        <v>0</v>
      </c>
      <c r="GQ38" s="94">
        <f t="shared" ref="GQ38:HU38" si="510">SUM(GQ39:GQ41)</f>
        <v>0</v>
      </c>
      <c r="GR38" s="94">
        <f t="shared" si="509"/>
        <v>0</v>
      </c>
      <c r="GS38" s="94">
        <f t="shared" si="510"/>
        <v>0</v>
      </c>
      <c r="GT38" s="94">
        <f t="shared" si="509"/>
        <v>0</v>
      </c>
      <c r="GU38" s="94">
        <f t="shared" si="510"/>
        <v>0</v>
      </c>
      <c r="GV38" s="94">
        <f t="shared" si="509"/>
        <v>0</v>
      </c>
      <c r="GW38" s="94">
        <f t="shared" si="510"/>
        <v>0</v>
      </c>
      <c r="GX38" s="94">
        <f t="shared" si="509"/>
        <v>0</v>
      </c>
      <c r="GY38" s="94">
        <f t="shared" si="510"/>
        <v>0</v>
      </c>
      <c r="GZ38" s="94">
        <f t="shared" si="509"/>
        <v>0</v>
      </c>
      <c r="HA38" s="94">
        <f t="shared" si="510"/>
        <v>0</v>
      </c>
      <c r="HB38" s="94">
        <f t="shared" si="509"/>
        <v>0</v>
      </c>
      <c r="HC38" s="94">
        <f t="shared" si="510"/>
        <v>0</v>
      </c>
      <c r="HD38" s="94">
        <f t="shared" si="509"/>
        <v>0</v>
      </c>
      <c r="HE38" s="94">
        <f t="shared" si="510"/>
        <v>0</v>
      </c>
      <c r="HF38" s="94">
        <f t="shared" si="509"/>
        <v>0</v>
      </c>
      <c r="HG38" s="94">
        <f t="shared" si="510"/>
        <v>0</v>
      </c>
      <c r="HH38" s="94">
        <f t="shared" si="509"/>
        <v>0</v>
      </c>
      <c r="HI38" s="94">
        <f t="shared" si="510"/>
        <v>0</v>
      </c>
      <c r="HJ38" s="94">
        <f t="shared" si="509"/>
        <v>0</v>
      </c>
      <c r="HK38" s="94">
        <f t="shared" si="510"/>
        <v>0</v>
      </c>
      <c r="HL38" s="94">
        <f t="shared" si="509"/>
        <v>0</v>
      </c>
      <c r="HM38" s="94">
        <f t="shared" si="510"/>
        <v>0</v>
      </c>
      <c r="HN38" s="94">
        <f t="shared" si="509"/>
        <v>0</v>
      </c>
      <c r="HO38" s="94">
        <f t="shared" si="510"/>
        <v>0</v>
      </c>
      <c r="HP38" s="94">
        <f t="shared" si="509"/>
        <v>0</v>
      </c>
      <c r="HQ38" s="94">
        <f t="shared" si="510"/>
        <v>0</v>
      </c>
      <c r="HR38" s="94">
        <f t="shared" si="509"/>
        <v>0</v>
      </c>
      <c r="HS38" s="94">
        <f t="shared" si="510"/>
        <v>0</v>
      </c>
      <c r="HT38" s="94">
        <f t="shared" si="509"/>
        <v>0</v>
      </c>
      <c r="HU38" s="94">
        <f t="shared" si="510"/>
        <v>0</v>
      </c>
      <c r="HV38" s="94">
        <f t="shared" si="509"/>
        <v>0</v>
      </c>
      <c r="HW38" s="94">
        <f t="shared" si="509"/>
        <v>0</v>
      </c>
      <c r="HX38" s="94">
        <f t="shared" ref="HX38:IY38" si="511">SUM(HX39:HX41)</f>
        <v>0</v>
      </c>
      <c r="HY38" s="94">
        <f t="shared" si="511"/>
        <v>0</v>
      </c>
      <c r="HZ38" s="94">
        <f t="shared" si="511"/>
        <v>0</v>
      </c>
      <c r="IA38" s="94">
        <f t="shared" si="511"/>
        <v>0</v>
      </c>
      <c r="IB38" s="94">
        <f t="shared" si="511"/>
        <v>0</v>
      </c>
      <c r="IC38" s="94">
        <f t="shared" si="511"/>
        <v>0</v>
      </c>
      <c r="ID38" s="94">
        <f t="shared" si="511"/>
        <v>0</v>
      </c>
      <c r="IE38" s="94">
        <f t="shared" si="511"/>
        <v>0</v>
      </c>
      <c r="IF38" s="94">
        <f t="shared" si="511"/>
        <v>0</v>
      </c>
      <c r="IG38" s="94">
        <f t="shared" si="511"/>
        <v>0</v>
      </c>
      <c r="IH38" s="94">
        <f t="shared" si="511"/>
        <v>0</v>
      </c>
      <c r="II38" s="94">
        <f t="shared" si="511"/>
        <v>0</v>
      </c>
      <c r="IJ38" s="94">
        <f t="shared" si="511"/>
        <v>0</v>
      </c>
      <c r="IK38" s="94">
        <f t="shared" si="511"/>
        <v>0</v>
      </c>
      <c r="IL38" s="94">
        <f t="shared" si="511"/>
        <v>0</v>
      </c>
      <c r="IM38" s="94">
        <f t="shared" si="511"/>
        <v>0</v>
      </c>
      <c r="IN38" s="94">
        <f t="shared" si="511"/>
        <v>0</v>
      </c>
      <c r="IO38" s="94">
        <f t="shared" si="511"/>
        <v>0</v>
      </c>
      <c r="IP38" s="94">
        <f t="shared" si="511"/>
        <v>0</v>
      </c>
      <c r="IQ38" s="94">
        <f t="shared" si="511"/>
        <v>0</v>
      </c>
      <c r="IR38" s="94">
        <f t="shared" si="511"/>
        <v>0</v>
      </c>
      <c r="IS38" s="94">
        <f t="shared" si="511"/>
        <v>0</v>
      </c>
      <c r="IT38" s="94">
        <f t="shared" si="511"/>
        <v>0</v>
      </c>
      <c r="IU38" s="94">
        <f t="shared" si="511"/>
        <v>0</v>
      </c>
      <c r="IV38" s="94">
        <f t="shared" si="511"/>
        <v>0</v>
      </c>
      <c r="IW38" s="94">
        <f t="shared" si="511"/>
        <v>0</v>
      </c>
      <c r="IX38" s="94">
        <f t="shared" si="511"/>
        <v>0</v>
      </c>
      <c r="IY38" s="94">
        <f t="shared" si="511"/>
        <v>0</v>
      </c>
      <c r="IZ38" s="94">
        <f t="shared" ref="IZ38:JA38" si="512">SUM(IZ39:IZ41)</f>
        <v>0</v>
      </c>
      <c r="JA38" s="94">
        <f t="shared" si="512"/>
        <v>0</v>
      </c>
      <c r="JB38" s="94">
        <f t="shared" ref="JB38:LJ38" si="513">SUM(JB39:JB41)</f>
        <v>0</v>
      </c>
      <c r="JC38" s="94">
        <f t="shared" si="513"/>
        <v>0</v>
      </c>
      <c r="JD38" s="94">
        <f t="shared" si="513"/>
        <v>0</v>
      </c>
      <c r="JE38" s="94">
        <f t="shared" si="513"/>
        <v>0</v>
      </c>
      <c r="JF38" s="94">
        <f t="shared" si="513"/>
        <v>0</v>
      </c>
      <c r="JG38" s="94">
        <f t="shared" si="513"/>
        <v>0</v>
      </c>
      <c r="JH38" s="94">
        <f t="shared" si="513"/>
        <v>0</v>
      </c>
      <c r="JI38" s="94">
        <f t="shared" si="513"/>
        <v>0</v>
      </c>
      <c r="JJ38" s="94">
        <f t="shared" si="513"/>
        <v>0</v>
      </c>
      <c r="JK38" s="94">
        <f t="shared" si="513"/>
        <v>0</v>
      </c>
      <c r="JL38" s="94">
        <f t="shared" si="513"/>
        <v>0</v>
      </c>
      <c r="JM38" s="94">
        <f t="shared" si="513"/>
        <v>0</v>
      </c>
      <c r="JN38" s="94">
        <f t="shared" si="513"/>
        <v>0</v>
      </c>
      <c r="JO38" s="94">
        <f t="shared" si="513"/>
        <v>0</v>
      </c>
      <c r="JP38" s="94">
        <f t="shared" si="513"/>
        <v>0</v>
      </c>
      <c r="JQ38" s="94">
        <f t="shared" si="513"/>
        <v>0</v>
      </c>
      <c r="JR38" s="94">
        <f t="shared" si="513"/>
        <v>0</v>
      </c>
      <c r="JS38" s="94">
        <f t="shared" si="513"/>
        <v>0</v>
      </c>
      <c r="JT38" s="94">
        <f t="shared" si="513"/>
        <v>0</v>
      </c>
      <c r="JU38" s="94">
        <f t="shared" si="513"/>
        <v>0</v>
      </c>
      <c r="JV38" s="94">
        <f t="shared" si="513"/>
        <v>0</v>
      </c>
      <c r="JW38" s="94">
        <f t="shared" si="513"/>
        <v>0</v>
      </c>
      <c r="JX38" s="94">
        <f t="shared" si="513"/>
        <v>0</v>
      </c>
      <c r="JY38" s="94">
        <f t="shared" si="513"/>
        <v>0</v>
      </c>
      <c r="JZ38" s="94">
        <f t="shared" si="513"/>
        <v>0</v>
      </c>
      <c r="KA38" s="94">
        <f t="shared" si="513"/>
        <v>0</v>
      </c>
      <c r="KB38" s="94">
        <f t="shared" si="513"/>
        <v>0</v>
      </c>
      <c r="KC38" s="94">
        <f t="shared" si="513"/>
        <v>0</v>
      </c>
      <c r="KD38" s="94">
        <f t="shared" si="513"/>
        <v>0</v>
      </c>
      <c r="KE38" s="94">
        <f t="shared" si="513"/>
        <v>0</v>
      </c>
      <c r="KF38" s="94">
        <f t="shared" si="513"/>
        <v>0</v>
      </c>
      <c r="KG38" s="94">
        <f t="shared" si="513"/>
        <v>0</v>
      </c>
      <c r="KH38" s="94">
        <f t="shared" si="513"/>
        <v>0</v>
      </c>
      <c r="KI38" s="94">
        <f t="shared" si="513"/>
        <v>0</v>
      </c>
      <c r="KJ38" s="94">
        <f t="shared" si="513"/>
        <v>0</v>
      </c>
      <c r="KK38" s="94">
        <f t="shared" si="513"/>
        <v>0</v>
      </c>
      <c r="KL38" s="94">
        <f t="shared" si="513"/>
        <v>0</v>
      </c>
      <c r="KM38" s="94">
        <f t="shared" si="513"/>
        <v>0</v>
      </c>
      <c r="KN38" s="94">
        <f t="shared" si="513"/>
        <v>0</v>
      </c>
      <c r="KO38" s="94">
        <f t="shared" si="513"/>
        <v>0</v>
      </c>
      <c r="KP38" s="94">
        <f t="shared" si="513"/>
        <v>0</v>
      </c>
      <c r="KQ38" s="94">
        <f t="shared" si="513"/>
        <v>0</v>
      </c>
      <c r="KR38" s="94">
        <f t="shared" si="513"/>
        <v>0</v>
      </c>
      <c r="KS38" s="94">
        <f t="shared" si="513"/>
        <v>0</v>
      </c>
      <c r="KT38" s="94">
        <f t="shared" si="513"/>
        <v>0</v>
      </c>
      <c r="KU38" s="94">
        <f t="shared" si="513"/>
        <v>0</v>
      </c>
      <c r="KV38" s="94">
        <f t="shared" si="513"/>
        <v>0</v>
      </c>
      <c r="KW38" s="94">
        <f t="shared" si="513"/>
        <v>0</v>
      </c>
      <c r="KX38" s="94">
        <f t="shared" si="513"/>
        <v>0</v>
      </c>
      <c r="KY38" s="94">
        <f t="shared" si="513"/>
        <v>0</v>
      </c>
      <c r="KZ38" s="94">
        <f t="shared" si="513"/>
        <v>0</v>
      </c>
      <c r="LA38" s="94">
        <f t="shared" si="513"/>
        <v>0</v>
      </c>
      <c r="LB38" s="94">
        <f t="shared" si="513"/>
        <v>0</v>
      </c>
      <c r="LC38" s="94">
        <f t="shared" si="513"/>
        <v>0</v>
      </c>
      <c r="LD38" s="94">
        <f t="shared" si="513"/>
        <v>0</v>
      </c>
      <c r="LE38" s="94">
        <f t="shared" si="513"/>
        <v>0</v>
      </c>
      <c r="LF38" s="94">
        <f t="shared" si="513"/>
        <v>0</v>
      </c>
      <c r="LG38" s="94">
        <f t="shared" si="513"/>
        <v>0</v>
      </c>
      <c r="LH38" s="94">
        <f t="shared" si="513"/>
        <v>0</v>
      </c>
      <c r="LI38" s="94">
        <f t="shared" si="513"/>
        <v>0</v>
      </c>
      <c r="LJ38" s="94">
        <f t="shared" si="513"/>
        <v>0</v>
      </c>
      <c r="LK38" s="94">
        <f t="shared" ref="LK38:NS38" si="514">SUM(LK39:LK41)</f>
        <v>0</v>
      </c>
      <c r="LL38" s="94">
        <f t="shared" si="514"/>
        <v>0</v>
      </c>
      <c r="LM38" s="94">
        <f t="shared" si="514"/>
        <v>0</v>
      </c>
      <c r="LN38" s="94">
        <f t="shared" si="514"/>
        <v>0</v>
      </c>
      <c r="LO38" s="94">
        <f t="shared" si="514"/>
        <v>0</v>
      </c>
      <c r="LP38" s="94">
        <f t="shared" si="514"/>
        <v>0</v>
      </c>
      <c r="LQ38" s="94">
        <f t="shared" si="514"/>
        <v>0</v>
      </c>
      <c r="LR38" s="94">
        <f t="shared" si="514"/>
        <v>0</v>
      </c>
      <c r="LS38" s="94">
        <f t="shared" si="514"/>
        <v>0</v>
      </c>
      <c r="LT38" s="94">
        <f t="shared" si="514"/>
        <v>0</v>
      </c>
      <c r="LU38" s="94">
        <f t="shared" si="514"/>
        <v>264</v>
      </c>
      <c r="LV38" s="94">
        <f t="shared" si="514"/>
        <v>0</v>
      </c>
      <c r="LW38" s="94">
        <f t="shared" si="514"/>
        <v>0</v>
      </c>
      <c r="LX38" s="94">
        <f t="shared" si="514"/>
        <v>0</v>
      </c>
      <c r="LY38" s="94">
        <f t="shared" si="514"/>
        <v>0</v>
      </c>
      <c r="LZ38" s="94">
        <f t="shared" si="514"/>
        <v>0</v>
      </c>
      <c r="MA38" s="94">
        <f t="shared" si="514"/>
        <v>0</v>
      </c>
      <c r="MB38" s="94">
        <f t="shared" si="514"/>
        <v>0</v>
      </c>
      <c r="MC38" s="94">
        <f t="shared" si="514"/>
        <v>0</v>
      </c>
      <c r="MD38" s="94">
        <f t="shared" si="514"/>
        <v>0</v>
      </c>
      <c r="ME38" s="94">
        <f t="shared" si="514"/>
        <v>0</v>
      </c>
      <c r="MF38" s="94">
        <f t="shared" si="514"/>
        <v>462</v>
      </c>
      <c r="MG38" s="94">
        <f t="shared" si="514"/>
        <v>0</v>
      </c>
      <c r="MH38" s="94">
        <f t="shared" si="514"/>
        <v>0</v>
      </c>
      <c r="MI38" s="94">
        <f t="shared" si="514"/>
        <v>0</v>
      </c>
      <c r="MJ38" s="94">
        <f t="shared" si="514"/>
        <v>0</v>
      </c>
      <c r="MK38" s="94">
        <f t="shared" si="514"/>
        <v>0</v>
      </c>
      <c r="ML38" s="94">
        <f t="shared" si="514"/>
        <v>744</v>
      </c>
      <c r="MM38" s="94">
        <f t="shared" si="514"/>
        <v>0</v>
      </c>
      <c r="MN38" s="94">
        <f t="shared" si="514"/>
        <v>0</v>
      </c>
      <c r="MO38" s="94">
        <f t="shared" si="514"/>
        <v>0</v>
      </c>
      <c r="MP38" s="94">
        <f t="shared" si="514"/>
        <v>0</v>
      </c>
      <c r="MQ38" s="94">
        <f t="shared" si="514"/>
        <v>0</v>
      </c>
      <c r="MR38" s="94">
        <f t="shared" si="514"/>
        <v>0</v>
      </c>
      <c r="MS38" s="94">
        <f t="shared" si="514"/>
        <v>0</v>
      </c>
      <c r="MT38" s="94">
        <f t="shared" si="514"/>
        <v>0</v>
      </c>
      <c r="MU38" s="94">
        <f t="shared" si="514"/>
        <v>0</v>
      </c>
      <c r="MV38" s="94">
        <f t="shared" si="514"/>
        <v>319</v>
      </c>
      <c r="MW38" s="94">
        <f t="shared" si="514"/>
        <v>0</v>
      </c>
      <c r="MX38" s="94">
        <f t="shared" si="514"/>
        <v>0</v>
      </c>
      <c r="MY38" s="94">
        <f t="shared" si="514"/>
        <v>0</v>
      </c>
      <c r="MZ38" s="94">
        <f t="shared" si="514"/>
        <v>0</v>
      </c>
      <c r="NA38" s="94">
        <f t="shared" si="514"/>
        <v>0</v>
      </c>
      <c r="NB38" s="94">
        <f t="shared" si="514"/>
        <v>0</v>
      </c>
      <c r="NC38" s="94">
        <f t="shared" si="514"/>
        <v>0</v>
      </c>
      <c r="ND38" s="94">
        <f t="shared" si="514"/>
        <v>0</v>
      </c>
      <c r="NE38" s="94">
        <f t="shared" si="514"/>
        <v>0</v>
      </c>
      <c r="NF38" s="94">
        <f t="shared" si="514"/>
        <v>445</v>
      </c>
      <c r="NG38" s="94">
        <f t="shared" si="514"/>
        <v>0</v>
      </c>
      <c r="NH38" s="94">
        <f t="shared" si="514"/>
        <v>0</v>
      </c>
      <c r="NI38" s="94">
        <f t="shared" si="514"/>
        <v>0</v>
      </c>
      <c r="NJ38" s="94">
        <f t="shared" si="514"/>
        <v>0</v>
      </c>
      <c r="NK38" s="94">
        <f t="shared" si="514"/>
        <v>0</v>
      </c>
      <c r="NL38" s="94">
        <f t="shared" si="514"/>
        <v>0</v>
      </c>
      <c r="NM38" s="94">
        <f t="shared" si="514"/>
        <v>0</v>
      </c>
      <c r="NN38" s="94">
        <f t="shared" si="514"/>
        <v>0</v>
      </c>
      <c r="NO38" s="94">
        <f t="shared" si="514"/>
        <v>0</v>
      </c>
      <c r="NP38" s="94">
        <f t="shared" si="514"/>
        <v>0</v>
      </c>
      <c r="NQ38" s="94">
        <f t="shared" si="514"/>
        <v>468</v>
      </c>
      <c r="NR38" s="94">
        <f t="shared" si="514"/>
        <v>0</v>
      </c>
      <c r="NS38" s="94">
        <f t="shared" si="514"/>
        <v>0</v>
      </c>
      <c r="NW38" s="358" t="s">
        <v>7</v>
      </c>
      <c r="NX38" s="316">
        <f>NX20/NX29</f>
        <v>0.89925755745246416</v>
      </c>
      <c r="NY38" s="316">
        <f>NY20/NY29</f>
        <v>0.99656651177609701</v>
      </c>
      <c r="NZ38" s="316">
        <f>NZ20/NZ29</f>
        <v>1.0202394114544153</v>
      </c>
      <c r="OA38" s="316">
        <f>OA20/OA29</f>
        <v>1.0198927094826689</v>
      </c>
      <c r="OB38" s="316">
        <f>OB20/OB29</f>
        <v>0.97914192373885389</v>
      </c>
      <c r="OC38" s="316">
        <f>OC20/OC29</f>
        <v>0.96250060459395614</v>
      </c>
      <c r="OD38" s="316">
        <f>OD20/OD29</f>
        <v>1.018484421847939</v>
      </c>
      <c r="OE38" s="316">
        <f>OE20/OE29</f>
        <v>0.88884894243003076</v>
      </c>
      <c r="OF38" s="316">
        <f>OF20/OF29</f>
        <v>1.0160202017375477</v>
      </c>
      <c r="OG38" s="316">
        <f>OG20/OG29</f>
        <v>1.021139322664987</v>
      </c>
      <c r="OH38" s="316">
        <f>OH20/OH29</f>
        <v>0.97871257600771877</v>
      </c>
      <c r="OI38" s="316">
        <f>OI20/OI29</f>
        <v>1.029917898619376</v>
      </c>
      <c r="OJ38" s="321">
        <f>OJ20/OJ29</f>
        <v>0.98674101642922274</v>
      </c>
      <c r="OK38" s="316">
        <f>OK20/OK29</f>
        <v>0.97603145247396417</v>
      </c>
      <c r="OL38" s="316">
        <f>OL20/OL29</f>
        <v>1.0577350804074146</v>
      </c>
      <c r="OM38" s="316">
        <f>OM20/OM29</f>
        <v>1.0640088613284813</v>
      </c>
      <c r="ON38" s="316">
        <f>ON20/ON29</f>
        <v>1.0101630073568542</v>
      </c>
      <c r="OP38" s="94">
        <f t="shared" ref="OP38:OR38" si="515">SUM(OP39:OP41)</f>
        <v>343</v>
      </c>
      <c r="OQ38" s="94">
        <f t="shared" si="515"/>
        <v>0</v>
      </c>
      <c r="OR38" s="94">
        <f t="shared" si="515"/>
        <v>0</v>
      </c>
      <c r="OS38" s="94">
        <f t="shared" ref="OP38:PT38" si="516">SUM(OS39:OS41)</f>
        <v>0</v>
      </c>
      <c r="OT38" s="94">
        <f t="shared" si="516"/>
        <v>0</v>
      </c>
      <c r="OU38" s="94">
        <f t="shared" si="516"/>
        <v>0</v>
      </c>
      <c r="OV38" s="94">
        <f t="shared" si="516"/>
        <v>0</v>
      </c>
      <c r="OW38" s="94">
        <f t="shared" si="516"/>
        <v>0</v>
      </c>
      <c r="OX38" s="94">
        <f t="shared" si="516"/>
        <v>0</v>
      </c>
      <c r="OY38" s="94">
        <f t="shared" si="516"/>
        <v>0</v>
      </c>
      <c r="OZ38" s="94">
        <f t="shared" si="516"/>
        <v>0</v>
      </c>
      <c r="PA38" s="94">
        <f t="shared" si="516"/>
        <v>0</v>
      </c>
      <c r="PB38" s="94">
        <f t="shared" si="516"/>
        <v>0</v>
      </c>
      <c r="PC38" s="94">
        <f t="shared" si="516"/>
        <v>0</v>
      </c>
      <c r="PD38" s="94">
        <f t="shared" si="516"/>
        <v>0</v>
      </c>
      <c r="PE38" s="94">
        <f t="shared" si="516"/>
        <v>0</v>
      </c>
      <c r="PF38" s="94">
        <f t="shared" si="516"/>
        <v>0</v>
      </c>
      <c r="PG38" s="94">
        <f t="shared" si="516"/>
        <v>0</v>
      </c>
      <c r="PH38" s="94">
        <f t="shared" si="516"/>
        <v>0</v>
      </c>
      <c r="PI38" s="94">
        <f t="shared" si="516"/>
        <v>0</v>
      </c>
      <c r="PJ38" s="94">
        <f t="shared" si="516"/>
        <v>0</v>
      </c>
      <c r="PK38" s="94">
        <f t="shared" si="516"/>
        <v>0</v>
      </c>
      <c r="PL38" s="94">
        <f t="shared" si="516"/>
        <v>0</v>
      </c>
      <c r="PM38" s="94">
        <f t="shared" si="516"/>
        <v>0</v>
      </c>
      <c r="PN38" s="94">
        <f t="shared" si="516"/>
        <v>0</v>
      </c>
      <c r="PO38" s="94">
        <f t="shared" si="516"/>
        <v>0</v>
      </c>
      <c r="PP38" s="94">
        <f t="shared" si="516"/>
        <v>0</v>
      </c>
      <c r="PQ38" s="94">
        <f t="shared" si="516"/>
        <v>0</v>
      </c>
      <c r="PR38" s="94">
        <f t="shared" si="516"/>
        <v>0</v>
      </c>
      <c r="PS38" s="94">
        <f t="shared" si="516"/>
        <v>0</v>
      </c>
      <c r="PT38" s="94">
        <f t="shared" si="516"/>
        <v>0</v>
      </c>
    </row>
    <row r="39" spans="2:436">
      <c r="P39" s="189">
        <f t="shared" si="53"/>
        <v>0</v>
      </c>
      <c r="Q39" s="144" t="s">
        <v>38</v>
      </c>
      <c r="R39" s="58" t="s">
        <v>39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100">
        <v>0</v>
      </c>
      <c r="CA39" s="100">
        <v>0</v>
      </c>
      <c r="CB39" s="100">
        <v>0</v>
      </c>
      <c r="CC39" s="100">
        <v>0</v>
      </c>
      <c r="CD39" s="100">
        <v>0</v>
      </c>
      <c r="CE39" s="100">
        <v>0</v>
      </c>
      <c r="CF39" s="100">
        <v>0</v>
      </c>
      <c r="CG39" s="100">
        <v>0</v>
      </c>
      <c r="CH39" s="100">
        <v>0</v>
      </c>
      <c r="CI39" s="100">
        <v>0</v>
      </c>
      <c r="CJ39" s="100">
        <v>0</v>
      </c>
      <c r="CK39" s="100">
        <v>0</v>
      </c>
      <c r="CL39" s="100">
        <v>0</v>
      </c>
      <c r="CM39" s="100">
        <v>0</v>
      </c>
      <c r="CN39" s="100">
        <v>0</v>
      </c>
      <c r="CO39" s="100">
        <v>0</v>
      </c>
      <c r="CP39" s="100">
        <v>0</v>
      </c>
      <c r="CQ39" s="100">
        <v>0</v>
      </c>
      <c r="CR39" s="100">
        <v>0</v>
      </c>
      <c r="CS39" s="100">
        <v>0</v>
      </c>
      <c r="CT39" s="100">
        <v>0</v>
      </c>
      <c r="CU39" s="100">
        <v>0</v>
      </c>
      <c r="CV39" s="100">
        <v>0</v>
      </c>
      <c r="CW39" s="100">
        <v>0</v>
      </c>
      <c r="CX39" s="100">
        <v>0</v>
      </c>
      <c r="CY39" s="100">
        <v>0</v>
      </c>
      <c r="CZ39" s="100">
        <v>0</v>
      </c>
      <c r="DA39" s="100">
        <v>0</v>
      </c>
      <c r="DB39" s="100">
        <v>0</v>
      </c>
      <c r="DC39" s="100">
        <v>0</v>
      </c>
      <c r="DD39" s="72">
        <v>0</v>
      </c>
      <c r="DE39" s="96">
        <v>0</v>
      </c>
      <c r="DF39" s="96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 s="101">
        <v>0</v>
      </c>
      <c r="EI39" s="101">
        <v>0</v>
      </c>
      <c r="EJ39" s="101">
        <v>0</v>
      </c>
      <c r="EK39" s="101">
        <v>0</v>
      </c>
      <c r="EL39" s="101">
        <v>0</v>
      </c>
      <c r="EM39" s="101">
        <v>0</v>
      </c>
      <c r="EN39" s="101">
        <v>0</v>
      </c>
      <c r="EO39" s="101">
        <v>0</v>
      </c>
      <c r="EP39" s="101">
        <v>0</v>
      </c>
      <c r="EQ39" s="101">
        <v>0</v>
      </c>
      <c r="ER39" s="101">
        <v>0</v>
      </c>
      <c r="ES39" s="101">
        <v>0</v>
      </c>
      <c r="ET39" s="101">
        <v>0</v>
      </c>
      <c r="EU39" s="101">
        <v>0</v>
      </c>
      <c r="EV39" s="101">
        <v>0</v>
      </c>
      <c r="EW39" s="101">
        <v>0</v>
      </c>
      <c r="EX39" s="101">
        <v>0</v>
      </c>
      <c r="EY39" s="101">
        <v>0</v>
      </c>
      <c r="EZ39" s="101">
        <v>0</v>
      </c>
      <c r="FA39" s="101">
        <v>0</v>
      </c>
      <c r="FB39" s="101">
        <v>0</v>
      </c>
      <c r="FC39" s="101">
        <v>0</v>
      </c>
      <c r="FD39" s="101">
        <v>0</v>
      </c>
      <c r="FE39" s="101">
        <v>0</v>
      </c>
      <c r="FF39" s="101">
        <v>0</v>
      </c>
      <c r="FG39" s="101">
        <v>0</v>
      </c>
      <c r="FH39" s="101">
        <v>0</v>
      </c>
      <c r="FI39" s="101">
        <v>0</v>
      </c>
      <c r="FJ39" s="101">
        <v>0</v>
      </c>
      <c r="FK39" s="101">
        <v>0</v>
      </c>
      <c r="FL39" s="101">
        <v>0</v>
      </c>
      <c r="FM39" s="101">
        <v>0</v>
      </c>
      <c r="NX39" s="240"/>
    </row>
    <row r="40" spans="2:436">
      <c r="P40" s="189">
        <f t="shared" si="53"/>
        <v>0</v>
      </c>
      <c r="Q40" s="145"/>
      <c r="R40" s="59" t="s">
        <v>40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100">
        <v>0</v>
      </c>
      <c r="CA40" s="100">
        <v>0</v>
      </c>
      <c r="CB40" s="100">
        <v>0</v>
      </c>
      <c r="CC40" s="100">
        <v>0</v>
      </c>
      <c r="CD40" s="100">
        <v>0</v>
      </c>
      <c r="CE40" s="100">
        <v>0</v>
      </c>
      <c r="CF40" s="100">
        <v>0</v>
      </c>
      <c r="CG40" s="100">
        <v>0</v>
      </c>
      <c r="CH40" s="100">
        <v>0</v>
      </c>
      <c r="CI40" s="100">
        <v>0</v>
      </c>
      <c r="CJ40" s="100">
        <v>0</v>
      </c>
      <c r="CK40" s="100">
        <v>0</v>
      </c>
      <c r="CL40" s="100">
        <v>0</v>
      </c>
      <c r="CM40" s="100">
        <v>0</v>
      </c>
      <c r="CN40" s="100">
        <v>0</v>
      </c>
      <c r="CO40" s="100">
        <v>0</v>
      </c>
      <c r="CP40" s="100">
        <v>0</v>
      </c>
      <c r="CQ40" s="100">
        <v>0</v>
      </c>
      <c r="CR40" s="100">
        <v>0</v>
      </c>
      <c r="CS40" s="100">
        <v>0</v>
      </c>
      <c r="CT40" s="100">
        <v>0</v>
      </c>
      <c r="CU40" s="100">
        <v>0</v>
      </c>
      <c r="CV40" s="100">
        <v>0</v>
      </c>
      <c r="CW40" s="100">
        <v>0</v>
      </c>
      <c r="CX40" s="100">
        <v>0</v>
      </c>
      <c r="CY40" s="100">
        <v>0</v>
      </c>
      <c r="CZ40" s="100">
        <v>0</v>
      </c>
      <c r="DA40" s="100">
        <v>0</v>
      </c>
      <c r="DB40" s="100">
        <v>0</v>
      </c>
      <c r="DC40" s="100">
        <v>0</v>
      </c>
      <c r="DD40" s="72">
        <v>0</v>
      </c>
      <c r="DE40" s="96">
        <v>0</v>
      </c>
      <c r="DF40" s="96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 s="101">
        <v>0</v>
      </c>
      <c r="EI40" s="101">
        <v>0</v>
      </c>
      <c r="EJ40" s="101">
        <v>0</v>
      </c>
      <c r="EK40" s="101">
        <v>0</v>
      </c>
      <c r="EL40" s="101">
        <v>0</v>
      </c>
      <c r="EM40" s="101">
        <v>0</v>
      </c>
      <c r="EN40" s="101">
        <v>0</v>
      </c>
      <c r="EO40" s="101">
        <v>0</v>
      </c>
      <c r="EP40" s="101">
        <v>0</v>
      </c>
      <c r="EQ40" s="101">
        <v>0</v>
      </c>
      <c r="ER40" s="101">
        <v>0</v>
      </c>
      <c r="ES40" s="101">
        <v>0</v>
      </c>
      <c r="ET40" s="101">
        <v>0</v>
      </c>
      <c r="EU40" s="101">
        <v>0</v>
      </c>
      <c r="EV40" s="101">
        <v>0</v>
      </c>
      <c r="EW40" s="101">
        <v>0</v>
      </c>
      <c r="EX40" s="101">
        <v>0</v>
      </c>
      <c r="EY40" s="101">
        <v>0</v>
      </c>
      <c r="EZ40" s="101">
        <v>0</v>
      </c>
      <c r="FA40" s="101">
        <v>0</v>
      </c>
      <c r="FB40" s="101">
        <v>0</v>
      </c>
      <c r="FC40" s="101">
        <v>0</v>
      </c>
      <c r="FD40" s="101">
        <v>0</v>
      </c>
      <c r="FE40" s="101">
        <v>0</v>
      </c>
      <c r="FF40" s="101">
        <v>0</v>
      </c>
      <c r="FG40" s="101">
        <v>0</v>
      </c>
      <c r="FH40" s="101">
        <v>0</v>
      </c>
      <c r="FI40" s="101">
        <v>0</v>
      </c>
      <c r="FJ40" s="101">
        <v>0</v>
      </c>
      <c r="FK40" s="101">
        <v>0</v>
      </c>
      <c r="FL40" s="101">
        <v>0</v>
      </c>
      <c r="FM40" s="101">
        <v>0</v>
      </c>
      <c r="NW40" s="360" t="s">
        <v>60</v>
      </c>
      <c r="NX40" s="318">
        <f t="shared" ref="NX40:OH40" si="517">SUM(NX41:NX46)</f>
        <v>34531</v>
      </c>
      <c r="NY40" s="318">
        <f t="shared" si="517"/>
        <v>37472</v>
      </c>
      <c r="NZ40" s="318">
        <f t="shared" si="517"/>
        <v>52739</v>
      </c>
      <c r="OA40" s="318">
        <f t="shared" si="517"/>
        <v>49177</v>
      </c>
      <c r="OB40" s="318">
        <f t="shared" si="517"/>
        <v>52734</v>
      </c>
      <c r="OC40" s="318">
        <f t="shared" si="517"/>
        <v>50575</v>
      </c>
      <c r="OD40" s="318">
        <f t="shared" si="517"/>
        <v>49903</v>
      </c>
      <c r="OE40" s="318">
        <f t="shared" si="517"/>
        <v>53271</v>
      </c>
      <c r="OF40" s="318">
        <f t="shared" si="517"/>
        <v>44448</v>
      </c>
      <c r="OG40" s="318">
        <f t="shared" si="517"/>
        <v>57044</v>
      </c>
      <c r="OH40" s="318">
        <f t="shared" si="517"/>
        <v>55291</v>
      </c>
      <c r="OI40" s="318">
        <f>SUM(OI41:OI46)</f>
        <v>46892</v>
      </c>
      <c r="OJ40" s="319">
        <f>SUM(NX40:OI40)</f>
        <v>584077</v>
      </c>
      <c r="OK40" s="318">
        <f>NX40+NY40+NZ40</f>
        <v>124742</v>
      </c>
      <c r="OL40" s="318">
        <f t="shared" ref="OL40:OL46" si="518">NY40+NZ40+OA40</f>
        <v>139388</v>
      </c>
      <c r="OM40" s="318">
        <f t="shared" ref="OM40:OM46" si="519">NZ40+OA40+OB40</f>
        <v>154650</v>
      </c>
      <c r="ON40" s="318">
        <f>OG40+OH40+OI40</f>
        <v>159227</v>
      </c>
    </row>
    <row r="41" spans="2:436">
      <c r="P41" s="189">
        <f t="shared" si="53"/>
        <v>343</v>
      </c>
      <c r="Q41" s="146" t="s">
        <v>41</v>
      </c>
      <c r="R41" s="124" t="s">
        <v>42</v>
      </c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  <c r="BX41" s="184"/>
      <c r="BY41" s="184"/>
      <c r="BZ41" s="112">
        <v>0</v>
      </c>
      <c r="CA41" s="112">
        <v>0</v>
      </c>
      <c r="CB41" s="112">
        <v>0</v>
      </c>
      <c r="CC41" s="112">
        <v>0</v>
      </c>
      <c r="CD41" s="112">
        <v>0</v>
      </c>
      <c r="CE41" s="112">
        <v>129</v>
      </c>
      <c r="CF41" s="112">
        <v>0</v>
      </c>
      <c r="CG41" s="112">
        <v>0</v>
      </c>
      <c r="CH41" s="112">
        <v>0</v>
      </c>
      <c r="CI41" s="112">
        <v>0</v>
      </c>
      <c r="CJ41" s="112">
        <v>0</v>
      </c>
      <c r="CK41" s="112">
        <v>0</v>
      </c>
      <c r="CL41" s="112">
        <v>0</v>
      </c>
      <c r="CM41" s="112">
        <v>0</v>
      </c>
      <c r="CN41" s="112">
        <v>0</v>
      </c>
      <c r="CO41" s="112">
        <v>0</v>
      </c>
      <c r="CP41" s="112">
        <v>0</v>
      </c>
      <c r="CQ41" s="112">
        <v>0</v>
      </c>
      <c r="CR41" s="112">
        <v>0</v>
      </c>
      <c r="CS41" s="112">
        <v>0</v>
      </c>
      <c r="CT41" s="112">
        <v>0</v>
      </c>
      <c r="CU41" s="112">
        <v>0</v>
      </c>
      <c r="CV41" s="112">
        <v>0</v>
      </c>
      <c r="CW41" s="112">
        <v>0</v>
      </c>
      <c r="CX41" s="112">
        <v>0</v>
      </c>
      <c r="CY41" s="112">
        <v>0</v>
      </c>
      <c r="CZ41" s="112">
        <v>0</v>
      </c>
      <c r="DA41" s="112">
        <v>0</v>
      </c>
      <c r="DB41" s="112">
        <v>0</v>
      </c>
      <c r="DC41" s="112">
        <v>0</v>
      </c>
      <c r="DD41" s="113">
        <v>0</v>
      </c>
      <c r="DE41" s="114">
        <v>0</v>
      </c>
      <c r="DF41" s="114">
        <v>0</v>
      </c>
      <c r="DG41" s="115">
        <v>0</v>
      </c>
      <c r="DH41" s="115">
        <v>0</v>
      </c>
      <c r="DI41" s="115">
        <v>0</v>
      </c>
      <c r="DJ41" s="115">
        <v>0</v>
      </c>
      <c r="DK41" s="115">
        <v>0</v>
      </c>
      <c r="DL41" s="115">
        <v>0</v>
      </c>
      <c r="DM41" s="115">
        <v>0</v>
      </c>
      <c r="DN41" s="115">
        <v>0</v>
      </c>
      <c r="DO41" s="115">
        <v>0</v>
      </c>
      <c r="DP41" s="115">
        <v>0</v>
      </c>
      <c r="DQ41" s="115">
        <v>0</v>
      </c>
      <c r="DR41" s="115">
        <v>0</v>
      </c>
      <c r="DS41" s="115">
        <v>0</v>
      </c>
      <c r="DT41" s="115">
        <v>0</v>
      </c>
      <c r="DU41" s="115">
        <v>0</v>
      </c>
      <c r="DV41" s="115">
        <v>0</v>
      </c>
      <c r="DW41" s="115">
        <v>0</v>
      </c>
      <c r="DX41" s="115">
        <v>0</v>
      </c>
      <c r="DY41" s="115">
        <v>0</v>
      </c>
      <c r="DZ41" s="115">
        <v>0</v>
      </c>
      <c r="EA41" s="115">
        <v>0</v>
      </c>
      <c r="EB41" s="115">
        <v>0</v>
      </c>
      <c r="EC41" s="115">
        <v>0</v>
      </c>
      <c r="ED41" s="115">
        <v>0</v>
      </c>
      <c r="EE41" s="115">
        <v>0</v>
      </c>
      <c r="EF41" s="115">
        <v>0</v>
      </c>
      <c r="EG41" s="115">
        <v>0</v>
      </c>
      <c r="EH41" s="116">
        <v>0</v>
      </c>
      <c r="EI41" s="116">
        <v>0</v>
      </c>
      <c r="EJ41" s="116">
        <v>0</v>
      </c>
      <c r="EK41" s="116">
        <v>0</v>
      </c>
      <c r="EL41" s="116">
        <v>0</v>
      </c>
      <c r="EM41" s="116">
        <v>0</v>
      </c>
      <c r="EN41" s="116">
        <v>0</v>
      </c>
      <c r="EO41" s="116">
        <v>0</v>
      </c>
      <c r="EP41" s="116">
        <v>0</v>
      </c>
      <c r="EQ41" s="116">
        <v>0</v>
      </c>
      <c r="ER41" s="116">
        <v>0</v>
      </c>
      <c r="ES41" s="116">
        <v>0</v>
      </c>
      <c r="ET41" s="116">
        <v>0</v>
      </c>
      <c r="EU41" s="116">
        <v>0</v>
      </c>
      <c r="EV41" s="116">
        <v>0</v>
      </c>
      <c r="EW41" s="116">
        <v>0</v>
      </c>
      <c r="EX41" s="116">
        <v>0</v>
      </c>
      <c r="EY41" s="116">
        <v>0</v>
      </c>
      <c r="EZ41" s="116">
        <v>0</v>
      </c>
      <c r="FA41" s="116">
        <v>0</v>
      </c>
      <c r="FB41" s="116">
        <v>0</v>
      </c>
      <c r="FC41" s="116">
        <v>0</v>
      </c>
      <c r="FD41" s="116">
        <v>0</v>
      </c>
      <c r="FE41" s="116">
        <v>0</v>
      </c>
      <c r="FF41" s="116">
        <v>0</v>
      </c>
      <c r="FG41" s="116">
        <v>0</v>
      </c>
      <c r="FH41" s="116">
        <v>0</v>
      </c>
      <c r="FI41" s="116">
        <v>0</v>
      </c>
      <c r="FJ41" s="116">
        <v>0</v>
      </c>
      <c r="FK41" s="116">
        <v>0</v>
      </c>
      <c r="FL41" s="116">
        <v>0</v>
      </c>
      <c r="FM41" s="116">
        <v>0</v>
      </c>
      <c r="GR41" s="118"/>
      <c r="GS41" s="118"/>
      <c r="GT41" s="118"/>
      <c r="GU41" s="118"/>
      <c r="GV41" s="118"/>
      <c r="GW41" s="118"/>
      <c r="GX41" s="118"/>
      <c r="GY41" s="118"/>
      <c r="GZ41" s="118"/>
      <c r="HA41" s="118"/>
      <c r="HB41" s="118"/>
      <c r="HC41" s="118"/>
      <c r="HD41" s="118"/>
      <c r="HE41" s="118"/>
      <c r="HF41" s="118"/>
      <c r="HG41" s="118"/>
      <c r="HH41" s="118"/>
      <c r="HI41" s="118"/>
      <c r="HJ41" s="118"/>
      <c r="HK41" s="118"/>
      <c r="HL41" s="118"/>
      <c r="HM41" s="118"/>
      <c r="HN41" s="118"/>
      <c r="HO41" s="118"/>
      <c r="HP41" s="118"/>
      <c r="HQ41" s="118"/>
      <c r="HR41" s="118"/>
      <c r="HS41" s="118"/>
      <c r="HT41" s="118"/>
      <c r="HU41" s="118"/>
      <c r="HV41" s="118"/>
      <c r="HW41" s="118"/>
      <c r="HX41" s="118"/>
      <c r="HY41" s="118"/>
      <c r="HZ41" s="118"/>
      <c r="IA41" s="118"/>
      <c r="IB41" s="118"/>
      <c r="IC41" s="118"/>
      <c r="ID41" s="118"/>
      <c r="IE41" s="118"/>
      <c r="IF41" s="118"/>
      <c r="IG41" s="118"/>
      <c r="IH41" s="118"/>
      <c r="II41" s="118"/>
      <c r="IJ41" s="118"/>
      <c r="IK41" s="118"/>
      <c r="IL41" s="118"/>
      <c r="IM41" s="118"/>
      <c r="IN41" s="118"/>
      <c r="IO41" s="118"/>
      <c r="IP41" s="118"/>
      <c r="IQ41" s="118"/>
      <c r="IR41" s="118"/>
      <c r="IS41" s="118"/>
      <c r="IT41" s="118"/>
      <c r="IU41" s="118"/>
      <c r="IV41" s="118"/>
      <c r="IW41" s="118"/>
      <c r="IX41" s="118"/>
      <c r="IY41" s="118"/>
      <c r="IZ41" s="118"/>
      <c r="JA41" s="118"/>
      <c r="JB41" s="118"/>
      <c r="JC41" s="118"/>
      <c r="JD41" s="118"/>
      <c r="JE41" s="118"/>
      <c r="JF41" s="118"/>
      <c r="JG41" s="118"/>
      <c r="JH41" s="118"/>
      <c r="JI41" s="118"/>
      <c r="JJ41" s="118"/>
      <c r="JK41" s="118"/>
      <c r="JL41" s="118"/>
      <c r="JM41" s="118"/>
      <c r="JN41" s="118"/>
      <c r="JO41" s="118"/>
      <c r="JP41" s="118"/>
      <c r="JQ41" s="118"/>
      <c r="JR41" s="118"/>
      <c r="JS41" s="118"/>
      <c r="JT41" s="118"/>
      <c r="JU41" s="118"/>
      <c r="JV41" s="118"/>
      <c r="JW41" s="118"/>
      <c r="JX41" s="118"/>
      <c r="JY41" s="118"/>
      <c r="JZ41" s="118"/>
      <c r="KA41" s="118"/>
      <c r="KB41" s="118"/>
      <c r="KC41" s="118"/>
      <c r="KD41" s="118"/>
      <c r="KE41" s="118"/>
      <c r="KF41" s="118"/>
      <c r="KG41" s="118"/>
      <c r="KH41" s="118"/>
      <c r="KI41" s="118"/>
      <c r="KJ41" s="118"/>
      <c r="KK41" s="118"/>
      <c r="KL41" s="118"/>
      <c r="KM41" s="118"/>
      <c r="KN41" s="118"/>
      <c r="KO41" s="118"/>
      <c r="KP41" s="118"/>
      <c r="KQ41" s="118"/>
      <c r="KR41" s="118"/>
      <c r="KS41" s="118"/>
      <c r="KT41" s="118"/>
      <c r="KU41" s="118"/>
      <c r="KV41" s="118"/>
      <c r="KW41" s="118"/>
      <c r="KX41" s="118"/>
      <c r="KY41" s="118"/>
      <c r="KZ41" s="118"/>
      <c r="LA41" s="118"/>
      <c r="LB41" s="118"/>
      <c r="LC41" s="118"/>
      <c r="LD41" s="118"/>
      <c r="LE41" s="118"/>
      <c r="LF41" s="118"/>
      <c r="LG41" s="118"/>
      <c r="LH41" s="118"/>
      <c r="LI41" s="118"/>
      <c r="LJ41" s="118"/>
      <c r="LK41" s="118"/>
      <c r="LL41" s="118"/>
      <c r="LM41" s="118"/>
      <c r="LN41" s="118"/>
      <c r="LO41" s="118"/>
      <c r="LP41" s="118"/>
      <c r="LQ41" s="118"/>
      <c r="LR41" s="118"/>
      <c r="LS41" s="118"/>
      <c r="LT41" s="118"/>
      <c r="LU41" s="118">
        <v>264</v>
      </c>
      <c r="LV41" s="118"/>
      <c r="LW41" s="118"/>
      <c r="LX41" s="118"/>
      <c r="LY41" s="118"/>
      <c r="LZ41" s="118"/>
      <c r="MA41" s="118"/>
      <c r="MB41" s="118"/>
      <c r="MC41" s="118"/>
      <c r="MD41" s="118"/>
      <c r="ME41" s="118"/>
      <c r="MF41" s="118">
        <v>462</v>
      </c>
      <c r="MG41" s="118"/>
      <c r="MH41" s="118"/>
      <c r="MI41" s="118"/>
      <c r="MJ41" s="118"/>
      <c r="MK41" s="118"/>
      <c r="ML41" s="118">
        <v>744</v>
      </c>
      <c r="MM41" s="118"/>
      <c r="MN41" s="118"/>
      <c r="MO41" s="118"/>
      <c r="MP41" s="118"/>
      <c r="MQ41" s="118"/>
      <c r="MR41" s="118"/>
      <c r="MS41" s="118"/>
      <c r="MT41" s="118"/>
      <c r="MU41" s="118"/>
      <c r="MV41" s="118">
        <v>319</v>
      </c>
      <c r="MW41" s="118"/>
      <c r="MX41" s="118"/>
      <c r="MY41" s="118"/>
      <c r="MZ41" s="118"/>
      <c r="NA41" s="118"/>
      <c r="NB41" s="118"/>
      <c r="NC41" s="118"/>
      <c r="ND41" s="118"/>
      <c r="NE41" s="118"/>
      <c r="NF41" s="118">
        <v>445</v>
      </c>
      <c r="NG41" s="118"/>
      <c r="NH41" s="118"/>
      <c r="NI41" s="118"/>
      <c r="NJ41" s="118"/>
      <c r="NK41" s="118"/>
      <c r="NL41" s="118"/>
      <c r="NM41" s="118"/>
      <c r="NN41" s="118"/>
      <c r="NO41" s="118"/>
      <c r="NP41" s="118"/>
      <c r="NQ41">
        <v>468</v>
      </c>
      <c r="NR41" s="118"/>
      <c r="NS41" s="118"/>
      <c r="NW41" s="230" t="s">
        <v>6</v>
      </c>
      <c r="NX41" s="361">
        <v>1429</v>
      </c>
      <c r="NY41" s="322">
        <v>2384</v>
      </c>
      <c r="NZ41" s="322">
        <v>2774</v>
      </c>
      <c r="OA41" s="322">
        <v>2020</v>
      </c>
      <c r="OB41" s="322">
        <v>2227</v>
      </c>
      <c r="OC41" s="322">
        <v>2516</v>
      </c>
      <c r="OD41" s="322">
        <v>2805</v>
      </c>
      <c r="OE41" s="322">
        <v>3110</v>
      </c>
      <c r="OF41" s="322">
        <v>2051</v>
      </c>
      <c r="OG41" s="322">
        <v>1931</v>
      </c>
      <c r="OH41" s="322">
        <v>1334</v>
      </c>
      <c r="OI41" s="322">
        <v>1521</v>
      </c>
      <c r="OJ41" s="324">
        <f t="shared" ref="OJ41:OJ46" si="520">SUM(NX41:OI41)</f>
        <v>26102</v>
      </c>
      <c r="OK41" s="322">
        <f t="shared" ref="OK41:OK46" si="521">NX41+NY41+NZ41</f>
        <v>6587</v>
      </c>
      <c r="OL41" s="322">
        <f t="shared" si="518"/>
        <v>7178</v>
      </c>
      <c r="OM41" s="322">
        <f t="shared" si="519"/>
        <v>7021</v>
      </c>
      <c r="ON41" s="322">
        <f t="shared" ref="ON41:ON46" si="522">OG41+OH41+OI41</f>
        <v>4786</v>
      </c>
      <c r="OP41">
        <v>343</v>
      </c>
    </row>
    <row r="42" spans="2:436" ht="15" customHeight="1">
      <c r="B42" s="457" t="s">
        <v>0</v>
      </c>
      <c r="C42" s="457" t="s">
        <v>1</v>
      </c>
      <c r="D42" s="457" t="s">
        <v>2</v>
      </c>
      <c r="E42" s="457"/>
      <c r="F42" s="457"/>
      <c r="G42" s="457"/>
      <c r="H42" s="457"/>
      <c r="I42" s="457"/>
      <c r="J42" s="457"/>
      <c r="NW42" s="230" t="s">
        <v>5</v>
      </c>
      <c r="NX42" s="323">
        <v>8267</v>
      </c>
      <c r="NY42" s="323">
        <v>8374</v>
      </c>
      <c r="NZ42" s="323">
        <v>10108</v>
      </c>
      <c r="OA42" s="323">
        <v>8801</v>
      </c>
      <c r="OB42" s="323">
        <v>10535</v>
      </c>
      <c r="OC42" s="323">
        <v>9783</v>
      </c>
      <c r="OD42" s="323">
        <v>11566</v>
      </c>
      <c r="OE42" s="323">
        <v>11416</v>
      </c>
      <c r="OF42" s="323">
        <v>12177</v>
      </c>
      <c r="OG42" s="323">
        <v>14610</v>
      </c>
      <c r="OH42" s="323">
        <v>13927</v>
      </c>
      <c r="OI42" s="323">
        <v>10780</v>
      </c>
      <c r="OJ42" s="325">
        <f t="shared" si="520"/>
        <v>130344</v>
      </c>
      <c r="OK42" s="323">
        <f t="shared" si="521"/>
        <v>26749</v>
      </c>
      <c r="OL42" s="323">
        <f t="shared" si="518"/>
        <v>27283</v>
      </c>
      <c r="OM42" s="323">
        <f t="shared" si="519"/>
        <v>29444</v>
      </c>
      <c r="ON42" s="323">
        <f t="shared" si="522"/>
        <v>39317</v>
      </c>
    </row>
    <row r="43" spans="2:436" ht="15" customHeight="1">
      <c r="B43" s="457"/>
      <c r="C43" s="457"/>
      <c r="D43" s="363" t="s">
        <v>5</v>
      </c>
      <c r="E43" s="363" t="s">
        <v>6</v>
      </c>
      <c r="F43" s="363" t="s">
        <v>7</v>
      </c>
      <c r="G43" s="363" t="s">
        <v>8</v>
      </c>
      <c r="H43" s="363" t="s">
        <v>9</v>
      </c>
      <c r="I43" s="363" t="s">
        <v>10</v>
      </c>
      <c r="J43" s="363" t="s">
        <v>11</v>
      </c>
      <c r="NW43" s="230" t="s">
        <v>10</v>
      </c>
      <c r="NX43" s="322">
        <v>589</v>
      </c>
      <c r="NY43" s="322">
        <v>1040</v>
      </c>
      <c r="NZ43" s="322">
        <v>1020</v>
      </c>
      <c r="OA43" s="322">
        <v>1309</v>
      </c>
      <c r="OB43" s="322">
        <v>1277</v>
      </c>
      <c r="OC43" s="322">
        <v>1832</v>
      </c>
      <c r="OD43" s="322">
        <v>1858</v>
      </c>
      <c r="OE43" s="322">
        <v>1571</v>
      </c>
      <c r="OF43" s="322">
        <v>854</v>
      </c>
      <c r="OG43" s="322">
        <v>1116</v>
      </c>
      <c r="OH43" s="322">
        <v>1134</v>
      </c>
      <c r="OI43" s="322">
        <v>982</v>
      </c>
      <c r="OJ43" s="324">
        <f t="shared" si="520"/>
        <v>14582</v>
      </c>
      <c r="OK43" s="322">
        <f t="shared" si="521"/>
        <v>2649</v>
      </c>
      <c r="OL43" s="322">
        <f t="shared" si="518"/>
        <v>3369</v>
      </c>
      <c r="OM43" s="322">
        <f t="shared" si="519"/>
        <v>3606</v>
      </c>
      <c r="ON43" s="322">
        <f t="shared" si="522"/>
        <v>3232</v>
      </c>
    </row>
    <row r="44" spans="2:436" ht="15" customHeight="1">
      <c r="B44" s="458" t="s">
        <v>37</v>
      </c>
      <c r="C44" s="458"/>
      <c r="D44" s="364">
        <f>SUM(D45:D49)</f>
        <v>2270</v>
      </c>
      <c r="E44" s="364">
        <f t="shared" ref="E44:J44" si="523">SUM(E45:E49)</f>
        <v>904.19</v>
      </c>
      <c r="F44" s="364">
        <f t="shared" si="523"/>
        <v>8667</v>
      </c>
      <c r="G44" s="364">
        <f t="shared" si="523"/>
        <v>5995</v>
      </c>
      <c r="H44" s="364">
        <f t="shared" si="523"/>
        <v>343</v>
      </c>
      <c r="I44" s="364">
        <f t="shared" si="523"/>
        <v>0</v>
      </c>
      <c r="J44" s="364">
        <f>SUM(J45:J49)</f>
        <v>18179.189999999999</v>
      </c>
      <c r="K44" s="36"/>
      <c r="NW44" s="230" t="s">
        <v>9</v>
      </c>
      <c r="NX44" s="322" t="s">
        <v>61</v>
      </c>
      <c r="NY44" s="322" t="s">
        <v>61</v>
      </c>
      <c r="NZ44" s="322" t="s">
        <v>61</v>
      </c>
      <c r="OA44" s="322" t="s">
        <v>61</v>
      </c>
      <c r="OB44" s="322" t="s">
        <v>61</v>
      </c>
      <c r="OC44" s="322" t="s">
        <v>61</v>
      </c>
      <c r="OD44" s="322" t="s">
        <v>61</v>
      </c>
      <c r="OE44" s="322" t="s">
        <v>61</v>
      </c>
      <c r="OF44" s="322" t="s">
        <v>61</v>
      </c>
      <c r="OG44" s="322">
        <v>376</v>
      </c>
      <c r="OH44" s="322">
        <v>827</v>
      </c>
      <c r="OI44" s="322">
        <v>468</v>
      </c>
      <c r="OJ44" s="324">
        <f>SUM(NX44:OI44)</f>
        <v>1671</v>
      </c>
      <c r="OK44" s="322"/>
      <c r="OL44" s="322"/>
      <c r="OM44" s="322"/>
      <c r="ON44" s="322">
        <f t="shared" si="522"/>
        <v>1671</v>
      </c>
    </row>
    <row r="45" spans="2:436" ht="15" customHeight="1">
      <c r="B45" s="459" t="s">
        <v>38</v>
      </c>
      <c r="C45" s="365" t="s">
        <v>39</v>
      </c>
      <c r="D45" s="262">
        <f>D5</f>
        <v>445</v>
      </c>
      <c r="E45" s="262">
        <f t="shared" ref="E45:I45" si="524">E5</f>
        <v>0</v>
      </c>
      <c r="F45" s="262">
        <f t="shared" si="524"/>
        <v>330</v>
      </c>
      <c r="G45" s="262">
        <f t="shared" si="524"/>
        <v>0</v>
      </c>
      <c r="H45" s="262">
        <f t="shared" si="524"/>
        <v>0</v>
      </c>
      <c r="I45" s="262">
        <f t="shared" si="524"/>
        <v>0</v>
      </c>
      <c r="J45" s="262">
        <f>SUM(D45:I45)</f>
        <v>775</v>
      </c>
      <c r="NW45" s="230" t="s">
        <v>8</v>
      </c>
      <c r="NX45" s="323">
        <v>8105</v>
      </c>
      <c r="NY45" s="323">
        <v>6473</v>
      </c>
      <c r="NZ45" s="323">
        <v>11563</v>
      </c>
      <c r="OA45" s="323">
        <v>10153</v>
      </c>
      <c r="OB45" s="323">
        <v>12443</v>
      </c>
      <c r="OC45" s="323">
        <v>11603</v>
      </c>
      <c r="OD45" s="323">
        <v>10533</v>
      </c>
      <c r="OE45" s="323">
        <v>11391</v>
      </c>
      <c r="OF45" s="323">
        <v>8969</v>
      </c>
      <c r="OG45" s="323">
        <v>13067</v>
      </c>
      <c r="OH45" s="323">
        <v>14541</v>
      </c>
      <c r="OI45" s="323">
        <v>11942</v>
      </c>
      <c r="OJ45" s="325">
        <f t="shared" si="520"/>
        <v>130783</v>
      </c>
      <c r="OK45" s="323">
        <f t="shared" si="521"/>
        <v>26141</v>
      </c>
      <c r="OL45" s="323">
        <f t="shared" si="518"/>
        <v>28189</v>
      </c>
      <c r="OM45" s="323">
        <f t="shared" si="519"/>
        <v>34159</v>
      </c>
      <c r="ON45" s="323">
        <f t="shared" si="522"/>
        <v>39550</v>
      </c>
    </row>
    <row r="46" spans="2:436">
      <c r="B46" s="459"/>
      <c r="C46" s="365" t="s">
        <v>40</v>
      </c>
      <c r="D46" s="262">
        <f>D6</f>
        <v>355</v>
      </c>
      <c r="E46" s="262">
        <f t="shared" ref="D45:I46" si="525">E6</f>
        <v>19.12</v>
      </c>
      <c r="F46" s="262">
        <f>F6</f>
        <v>2921</v>
      </c>
      <c r="G46" s="262">
        <f>G6</f>
        <v>2712</v>
      </c>
      <c r="H46" s="262">
        <f t="shared" si="525"/>
        <v>0</v>
      </c>
      <c r="I46" s="262">
        <f t="shared" si="525"/>
        <v>0</v>
      </c>
      <c r="J46" s="262">
        <f t="shared" ref="J46:J49" si="526">SUM(D46:I46)</f>
        <v>6007.12</v>
      </c>
      <c r="K46" s="36"/>
      <c r="L46" t="s">
        <v>62</v>
      </c>
      <c r="N46" s="187"/>
      <c r="NW46" s="358" t="s">
        <v>7</v>
      </c>
      <c r="NX46" s="323">
        <v>16141</v>
      </c>
      <c r="NY46" s="323">
        <v>19201</v>
      </c>
      <c r="NZ46" s="323">
        <v>27274</v>
      </c>
      <c r="OA46" s="323">
        <v>26894</v>
      </c>
      <c r="OB46" s="323">
        <v>26252</v>
      </c>
      <c r="OC46" s="323">
        <v>24841</v>
      </c>
      <c r="OD46" s="323">
        <v>23141</v>
      </c>
      <c r="OE46" s="323">
        <v>25783</v>
      </c>
      <c r="OF46" s="323">
        <v>20397</v>
      </c>
      <c r="OG46" s="323">
        <v>25944</v>
      </c>
      <c r="OH46" s="323">
        <v>23528</v>
      </c>
      <c r="OI46" s="323">
        <v>21199</v>
      </c>
      <c r="OJ46" s="325">
        <f t="shared" si="520"/>
        <v>280595</v>
      </c>
      <c r="OK46" s="323">
        <f t="shared" si="521"/>
        <v>62616</v>
      </c>
      <c r="OL46" s="323">
        <f t="shared" si="518"/>
        <v>73369</v>
      </c>
      <c r="OM46" s="323">
        <f t="shared" si="519"/>
        <v>80420</v>
      </c>
      <c r="ON46" s="323">
        <f t="shared" si="522"/>
        <v>70671</v>
      </c>
    </row>
    <row r="47" spans="2:436" ht="14.25">
      <c r="B47" s="372" t="s">
        <v>41</v>
      </c>
      <c r="C47" s="365" t="s">
        <v>42</v>
      </c>
      <c r="D47" s="262">
        <f t="shared" ref="D46:D49" si="527">D7</f>
        <v>1470</v>
      </c>
      <c r="E47" s="262">
        <f t="shared" ref="D47:I48" si="528">E7</f>
        <v>885.07</v>
      </c>
      <c r="F47" s="262">
        <f t="shared" si="528"/>
        <v>1268</v>
      </c>
      <c r="G47" s="262">
        <f t="shared" ref="G47" si="529">G7</f>
        <v>3283</v>
      </c>
      <c r="H47" s="262">
        <f t="shared" si="528"/>
        <v>343</v>
      </c>
      <c r="I47" s="262">
        <f t="shared" si="528"/>
        <v>0</v>
      </c>
      <c r="J47" s="262">
        <f t="shared" si="526"/>
        <v>7249.07</v>
      </c>
      <c r="K47" s="36"/>
      <c r="L47" s="187"/>
    </row>
    <row r="48" spans="2:436">
      <c r="B48" s="367" t="s">
        <v>41</v>
      </c>
      <c r="C48" s="365" t="s">
        <v>43</v>
      </c>
      <c r="D48" s="373"/>
      <c r="E48" s="373"/>
      <c r="F48" s="373">
        <v>1173</v>
      </c>
      <c r="G48" s="373"/>
      <c r="H48" s="373"/>
      <c r="I48" s="262">
        <f t="shared" ref="I48" si="530">I8</f>
        <v>0</v>
      </c>
      <c r="J48" s="373">
        <f t="shared" si="526"/>
        <v>1173</v>
      </c>
      <c r="K48" s="36"/>
      <c r="NW48" s="437" t="s">
        <v>63</v>
      </c>
      <c r="NX48" s="315" t="s">
        <v>20</v>
      </c>
      <c r="NY48" s="315" t="s">
        <v>21</v>
      </c>
      <c r="NZ48" s="315" t="s">
        <v>22</v>
      </c>
      <c r="OA48" s="315" t="s">
        <v>23</v>
      </c>
      <c r="OB48" s="315" t="s">
        <v>24</v>
      </c>
      <c r="OC48" s="315" t="s">
        <v>25</v>
      </c>
      <c r="OD48" s="315" t="s">
        <v>26</v>
      </c>
      <c r="OE48" s="315" t="s">
        <v>27</v>
      </c>
      <c r="OF48" s="315" t="s">
        <v>28</v>
      </c>
      <c r="OG48" s="315" t="s">
        <v>29</v>
      </c>
      <c r="OH48" s="315" t="s">
        <v>30</v>
      </c>
      <c r="OI48" s="315" t="s">
        <v>31</v>
      </c>
      <c r="OJ48" s="331" t="s">
        <v>32</v>
      </c>
      <c r="OK48" s="314" t="s">
        <v>33</v>
      </c>
      <c r="OL48" s="314" t="s">
        <v>34</v>
      </c>
      <c r="OM48" s="314" t="s">
        <v>35</v>
      </c>
      <c r="ON48" s="314" t="s">
        <v>36</v>
      </c>
    </row>
    <row r="49" spans="2:404">
      <c r="B49" s="367" t="s">
        <v>41</v>
      </c>
      <c r="C49" s="365" t="s">
        <v>44</v>
      </c>
      <c r="D49" s="262"/>
      <c r="E49" s="373"/>
      <c r="F49" s="373">
        <v>2975</v>
      </c>
      <c r="G49" s="373"/>
      <c r="H49" s="373"/>
      <c r="I49" s="262">
        <f t="shared" ref="I49" si="531">I9</f>
        <v>0</v>
      </c>
      <c r="J49" s="373">
        <f t="shared" si="526"/>
        <v>2975</v>
      </c>
      <c r="K49" s="36"/>
      <c r="NW49" s="438"/>
      <c r="NX49" s="241">
        <f>NX40/NX14/1000</f>
        <v>0.22399792686299669</v>
      </c>
      <c r="NY49" s="241">
        <f>NY40/NY14/1000</f>
        <v>0.21585628359915704</v>
      </c>
      <c r="NZ49" s="241">
        <f>NZ40/NZ14/1000</f>
        <v>0.24688254132042076</v>
      </c>
      <c r="OA49" s="241">
        <f>OA40/OA14/1000</f>
        <v>0.25561684764492887</v>
      </c>
      <c r="OB49" s="241">
        <f>OB40/OB14/1000</f>
        <v>0.25767894398065133</v>
      </c>
      <c r="OC49" s="241">
        <f>OC40/OC14/1000</f>
        <v>0.25069506195695956</v>
      </c>
      <c r="OD49" s="241">
        <f>OD40/OD14/1000</f>
        <v>0.22490964390433246</v>
      </c>
      <c r="OE49" s="241">
        <f>OE40/OE14/1000</f>
        <v>0.25323794015243223</v>
      </c>
      <c r="OF49" s="241">
        <f>OF40/OF14/1000</f>
        <v>0.21111881861300419</v>
      </c>
      <c r="OG49" s="241">
        <f>OG40/OG14/1000</f>
        <v>0.23893714158284871</v>
      </c>
      <c r="OH49" s="241">
        <f>OH40/OH14/1000</f>
        <v>0.25157050083142468</v>
      </c>
      <c r="OI49" s="241">
        <f>OI40/OI14/1000</f>
        <v>0.20124362039172203</v>
      </c>
      <c r="OJ49" s="330">
        <f>OJ40/OJ14/1000</f>
        <v>0.23604226419503138</v>
      </c>
      <c r="OK49" s="241">
        <f>OK40/OK14/1000</f>
        <v>0.2304172213574385</v>
      </c>
      <c r="OL49" s="241">
        <f>OL40/OL14/1000</f>
        <v>0.23278871548901603</v>
      </c>
      <c r="OM49" s="241">
        <f>OM40/OM14/1000</f>
        <v>0.24059734970112279</v>
      </c>
      <c r="ON49" s="241">
        <f>ON40/ON14/1000</f>
        <v>0.23025152585918668</v>
      </c>
    </row>
    <row r="50" spans="2:404" ht="18" customHeight="1">
      <c r="NW50" s="230" t="s">
        <v>6</v>
      </c>
      <c r="NX50" s="317">
        <f>NX41/NX15/1000</f>
        <v>0.42451718097661373</v>
      </c>
      <c r="NY50" s="317">
        <f>NY41/NY15/1000</f>
        <v>0.47542686073059326</v>
      </c>
      <c r="NZ50" s="317">
        <f>NZ41/NZ15/1000</f>
        <v>0.50927255984696151</v>
      </c>
      <c r="OA50" s="317">
        <f>OA41/OA15/1000</f>
        <v>0.4469276009421011</v>
      </c>
      <c r="OB50" s="317">
        <f>OB41/OB15/1000</f>
        <v>0.52474271775598991</v>
      </c>
      <c r="OC50" s="317">
        <f>OC41/OC15/1000</f>
        <v>0.55960856407633297</v>
      </c>
      <c r="OD50" s="317">
        <f>OD41/OD15/1000</f>
        <v>0.50231521559831971</v>
      </c>
      <c r="OE50" s="317">
        <f>OE41/OE15/1000</f>
        <v>0.68452447649889592</v>
      </c>
      <c r="OF50" s="317">
        <f>OF41/OF15/1000</f>
        <v>0.50179539038854171</v>
      </c>
      <c r="OG50" s="317">
        <f>OG41/OG15/1000</f>
        <v>0.49957154534876275</v>
      </c>
      <c r="OH50" s="317">
        <f>OH41/OH15/1000</f>
        <v>0.46243232851014021</v>
      </c>
      <c r="OI50" s="317">
        <f>OI44/OI15/1000</f>
        <v>0.10341224030797813</v>
      </c>
      <c r="OJ50" s="320">
        <f>OJ41/OJ15/1000</f>
        <v>0.49644586607450869</v>
      </c>
      <c r="OK50" s="317">
        <f>OK41/OK15/1000</f>
        <v>0.47636599812178582</v>
      </c>
      <c r="OL50" s="317">
        <f>OL41/OL15/1000</f>
        <v>0.54133823726529251</v>
      </c>
      <c r="OM50" s="317">
        <f>OM41/OM15/1000</f>
        <v>0.4939230007031542</v>
      </c>
      <c r="ON50" s="317">
        <f>ON41/ON15/1000</f>
        <v>0.42445502734200802</v>
      </c>
    </row>
    <row r="51" spans="2:404" ht="15" customHeight="1">
      <c r="B51" s="457" t="s">
        <v>0</v>
      </c>
      <c r="C51" s="457" t="s">
        <v>1</v>
      </c>
      <c r="D51" s="457" t="s">
        <v>45</v>
      </c>
      <c r="E51" s="457"/>
      <c r="F51" s="457"/>
      <c r="G51" s="457"/>
      <c r="H51" s="457"/>
      <c r="I51" s="457"/>
      <c r="J51" s="457"/>
      <c r="NW51" s="230" t="s">
        <v>5</v>
      </c>
      <c r="NX51" s="316">
        <f>NX42/NX16/1000</f>
        <v>0.30022589034848135</v>
      </c>
      <c r="NY51" s="316">
        <f>NY42/NY16/1000</f>
        <v>0.27246037499964432</v>
      </c>
      <c r="NZ51" s="316">
        <f>NZ42/NZ16/1000</f>
        <v>0.25938489067580617</v>
      </c>
      <c r="OA51" s="316">
        <f>OA42/OA16/1000</f>
        <v>0.25728921476561151</v>
      </c>
      <c r="OB51" s="316">
        <f>OB42/OB16/1000</f>
        <v>0.29218079885599901</v>
      </c>
      <c r="OC51" s="316">
        <f>OC42/OC16/1000</f>
        <v>0.26989905782686191</v>
      </c>
      <c r="OD51" s="316">
        <f>OD42/OD16/1000</f>
        <v>0.27607265131109487</v>
      </c>
      <c r="OE51" s="316">
        <f>OE42/OE16/1000</f>
        <v>0.26411925868875852</v>
      </c>
      <c r="OF51" s="316">
        <f>OF42/OF16/1000</f>
        <v>0.31491503442710872</v>
      </c>
      <c r="OG51" s="316">
        <f>OG42/OG16/1000</f>
        <v>0.30187876865683372</v>
      </c>
      <c r="OH51" s="316">
        <f>OH42/OH16/1000</f>
        <v>0.32888288146746603</v>
      </c>
      <c r="OI51" s="316">
        <f>OI42/OI16/1000</f>
        <v>0.24386148608574942</v>
      </c>
      <c r="OJ51" s="321">
        <f>OJ42/OJ16/1000</f>
        <v>0.28183478654378424</v>
      </c>
      <c r="OK51" s="316">
        <f>OK42/OK16/1000</f>
        <v>0.27508285381560388</v>
      </c>
      <c r="OL51" s="316">
        <f>OL42/OL16/1000</f>
        <v>0.25615442803091804</v>
      </c>
      <c r="OM51" s="316">
        <f>OM42/OM16/1000</f>
        <v>0.23786357584144632</v>
      </c>
      <c r="ON51" s="316">
        <f>ON42/ON16/1000</f>
        <v>0.29134771607636173</v>
      </c>
    </row>
    <row r="52" spans="2:404" ht="15.75" customHeight="1">
      <c r="B52" s="457"/>
      <c r="C52" s="457"/>
      <c r="D52" s="363" t="s">
        <v>5</v>
      </c>
      <c r="E52" s="363" t="s">
        <v>6</v>
      </c>
      <c r="F52" s="363" t="s">
        <v>7</v>
      </c>
      <c r="G52" s="363" t="s">
        <v>8</v>
      </c>
      <c r="H52" s="363" t="s">
        <v>9</v>
      </c>
      <c r="I52" s="363" t="s">
        <v>10</v>
      </c>
      <c r="J52" s="363" t="s">
        <v>11</v>
      </c>
      <c r="NW52" s="230" t="s">
        <v>10</v>
      </c>
      <c r="NX52" s="317">
        <f>NX43/NX17/1000</f>
        <v>0.21682636419224433</v>
      </c>
      <c r="NY52" s="317">
        <f>NY43/NY17/1000</f>
        <v>0.30988120455522483</v>
      </c>
      <c r="NZ52" s="317">
        <f>NZ43/NZ17/1000</f>
        <v>0.25777431032130732</v>
      </c>
      <c r="OA52" s="317">
        <f>OA43/OA17/1000</f>
        <v>0.35265842501502709</v>
      </c>
      <c r="OB52" s="317">
        <f>OB43/OB17/1000</f>
        <v>0.46693601727610023</v>
      </c>
      <c r="OC52" s="317">
        <f>OC43/OC17/1000</f>
        <v>0.48625336224591931</v>
      </c>
      <c r="OD52" s="317">
        <f>OD43/OD17/1000</f>
        <v>0.50615933719514672</v>
      </c>
      <c r="OE52" s="317">
        <f>OE43/OE17/1000</f>
        <v>0.46146642808192401</v>
      </c>
      <c r="OF52" s="317">
        <f>OF43/OF17/1000</f>
        <v>0.39240060393797999</v>
      </c>
      <c r="OG52" s="317">
        <f>OG43/OG17/1000</f>
        <v>0.42693585126132449</v>
      </c>
      <c r="OH52" s="317">
        <f>OH43/OH17/1000</f>
        <v>0.45295850205105526</v>
      </c>
      <c r="OI52" s="317">
        <f>OI43/OI17/1000</f>
        <v>0.39489765082899425</v>
      </c>
      <c r="OJ52" s="320">
        <f>OJ43/OJ17/1000</f>
        <v>0.39305107994990074</v>
      </c>
      <c r="OK52" s="317">
        <f>OK43/OK17/1000</f>
        <v>0.26411995019921719</v>
      </c>
      <c r="OL52" s="317">
        <f>OL43/OL17/1000</f>
        <v>0.3298336361315764</v>
      </c>
      <c r="OM52" s="317">
        <f>OM43/OM17/1000</f>
        <v>0.38977493364146615</v>
      </c>
      <c r="ON52" s="317">
        <f>ON43/ON17/1000</f>
        <v>0.42502622104389409</v>
      </c>
    </row>
    <row r="53" spans="2:404">
      <c r="B53" s="458" t="s">
        <v>37</v>
      </c>
      <c r="C53" s="458"/>
      <c r="D53" s="364">
        <f>SUM(D54:D57)</f>
        <v>5790</v>
      </c>
      <c r="E53" s="364">
        <f t="shared" ref="E53:H53" si="532">SUM(E54:E58)</f>
        <v>2139</v>
      </c>
      <c r="F53" s="364">
        <f t="shared" si="532"/>
        <v>21229</v>
      </c>
      <c r="G53" s="364">
        <f t="shared" si="532"/>
        <v>15128</v>
      </c>
      <c r="H53" s="364">
        <f t="shared" si="532"/>
        <v>1375</v>
      </c>
      <c r="I53" s="364">
        <f t="shared" ref="I53" si="533">SUM(I54:I58)</f>
        <v>4100</v>
      </c>
      <c r="J53" s="364">
        <f>SUM(J54:J58)</f>
        <v>49761</v>
      </c>
      <c r="NW53" s="230" t="s">
        <v>9</v>
      </c>
      <c r="NX53" s="317"/>
      <c r="NY53" s="317"/>
      <c r="NZ53" s="317"/>
      <c r="OA53" s="317"/>
      <c r="OB53" s="317"/>
      <c r="OC53" s="317"/>
      <c r="OD53" s="317"/>
      <c r="OE53" s="317"/>
      <c r="OF53" s="317"/>
      <c r="OG53" s="317"/>
      <c r="OH53" s="317"/>
      <c r="OI53" s="317"/>
      <c r="OJ53" s="320">
        <f>OJ44/OJ18/1000</f>
        <v>3.2783307629279508E-2</v>
      </c>
      <c r="OK53" s="317"/>
      <c r="OL53" s="317"/>
      <c r="OM53" s="317"/>
      <c r="ON53" s="317">
        <f>ON44/ON18/1000</f>
        <v>0.1646165521248048</v>
      </c>
    </row>
    <row r="54" spans="2:404">
      <c r="B54" s="459" t="s">
        <v>38</v>
      </c>
      <c r="C54" s="365" t="s">
        <v>39</v>
      </c>
      <c r="D54" s="262">
        <v>193</v>
      </c>
      <c r="E54" s="262">
        <f t="shared" ref="E54:I54" si="534">E14</f>
        <v>0</v>
      </c>
      <c r="F54" s="262">
        <v>1140</v>
      </c>
      <c r="G54" s="262">
        <v>392</v>
      </c>
      <c r="H54" s="262">
        <v>96</v>
      </c>
      <c r="I54" s="262">
        <f t="shared" si="534"/>
        <v>0</v>
      </c>
      <c r="J54" s="262">
        <f>SUM(D54:I54)</f>
        <v>1821</v>
      </c>
      <c r="NW54" s="230" t="s">
        <v>8</v>
      </c>
      <c r="NX54" s="316">
        <f>NX45/NX19/1000</f>
        <v>0.30118655953832768</v>
      </c>
      <c r="NY54" s="316">
        <f>NY45/NY19/1000</f>
        <v>0.2608331565220261</v>
      </c>
      <c r="NZ54" s="316">
        <f>NZ45/NZ19/1000</f>
        <v>0.3558730803735235</v>
      </c>
      <c r="OA54" s="316">
        <f>OA45/OA19/1000</f>
        <v>0.34973674318626818</v>
      </c>
      <c r="OB54" s="316">
        <f>OB45/OB19/1000</f>
        <v>0.39653294627211227</v>
      </c>
      <c r="OC54" s="316">
        <f>OC45/OC19/1000</f>
        <v>0.39528787007364563</v>
      </c>
      <c r="OD54" s="316">
        <f>OD45/OD19/1000</f>
        <v>0.32324402500162003</v>
      </c>
      <c r="OE54" s="316">
        <f>OE45/OE19/1000</f>
        <v>0.39471895136743579</v>
      </c>
      <c r="OF54" s="316">
        <f>OF45/OF19/1000</f>
        <v>0.29609072256528729</v>
      </c>
      <c r="OG54" s="316">
        <f>OG45/OG19/1000</f>
        <v>0.39297449106718213</v>
      </c>
      <c r="OH54" s="316">
        <f>OH45/OH19/1000</f>
        <v>0.45373711907789754</v>
      </c>
      <c r="OI54" s="316">
        <f>OI45/OI19/1000</f>
        <v>0.31879523874453458</v>
      </c>
      <c r="OJ54" s="321">
        <f>OJ45/OJ19/1000</f>
        <v>0.3549298307099672</v>
      </c>
      <c r="OK54" s="316">
        <f>OK45/OK19/1000</f>
        <v>0.310393943062936</v>
      </c>
      <c r="OL54" s="316">
        <f>OL45/OL19/1000</f>
        <v>0.31403743354607039</v>
      </c>
      <c r="OM54" s="316">
        <f>OM45/OM19/1000</f>
        <v>0.37236528901638632</v>
      </c>
      <c r="ON54" s="316">
        <f>ON45/ON19/1000</f>
        <v>0.38488302318567508</v>
      </c>
    </row>
    <row r="55" spans="2:404">
      <c r="B55" s="459"/>
      <c r="C55" s="365" t="s">
        <v>40</v>
      </c>
      <c r="D55" s="262">
        <v>1420</v>
      </c>
      <c r="E55" s="262">
        <f t="shared" ref="D55:I58" si="535">E15</f>
        <v>0</v>
      </c>
      <c r="F55" s="262">
        <v>10222</v>
      </c>
      <c r="G55" s="262">
        <v>5543</v>
      </c>
      <c r="H55" s="262">
        <f t="shared" si="535"/>
        <v>0</v>
      </c>
      <c r="I55" s="262">
        <f t="shared" si="535"/>
        <v>2600</v>
      </c>
      <c r="J55" s="262">
        <f t="shared" ref="J55:J58" si="536">SUM(D55:I55)</f>
        <v>19785</v>
      </c>
      <c r="NW55" s="231" t="s">
        <v>7</v>
      </c>
      <c r="NX55" s="316">
        <f>NX46/NX20/1000</f>
        <v>0.17904834805922093</v>
      </c>
      <c r="NY55" s="316">
        <f>NY46/NY20/1000</f>
        <v>0.18275347416525184</v>
      </c>
      <c r="NZ55" s="316">
        <f>NZ46/NZ20/1000</f>
        <v>0.21365127091682806</v>
      </c>
      <c r="OA55" s="316">
        <f>OA46/OA20/1000</f>
        <v>0.23105386871732367</v>
      </c>
      <c r="OB55" s="316">
        <f>OB46/OB20/1000</f>
        <v>0.20969707570515961</v>
      </c>
      <c r="OC55" s="316">
        <f>OC46/OC20/1000</f>
        <v>0.20197443713485405</v>
      </c>
      <c r="OD55" s="316">
        <f>OD46/OD20/1000</f>
        <v>0.17367145391837516</v>
      </c>
      <c r="OE55" s="316">
        <f>OE46/OE20/1000</f>
        <v>0.2036644867658331</v>
      </c>
      <c r="OF55" s="316">
        <f>OF46/OF20/1000</f>
        <v>0.15598233910216378</v>
      </c>
      <c r="OG55" s="316">
        <f>OG46/OG20/1000</f>
        <v>0.17818011702382111</v>
      </c>
      <c r="OH55" s="316">
        <f>OH46/OH20/1000</f>
        <v>0.174464967388752</v>
      </c>
      <c r="OI55" s="316">
        <f>OI46/OI20/1000</f>
        <v>0.14687500464973119</v>
      </c>
      <c r="OJ55" s="321">
        <f>OJ46/OJ20/1000</f>
        <v>0.18670837180797972</v>
      </c>
      <c r="OK55" s="316">
        <f>OK46/OK20/1000</f>
        <v>0.19393534336633769</v>
      </c>
      <c r="OL55" s="316">
        <f>OL46/OL20/1000</f>
        <v>0.20124361810878083</v>
      </c>
      <c r="OM55" s="316">
        <f>OM46/OM20/1000</f>
        <v>0.20588515409616381</v>
      </c>
      <c r="ON55" s="316">
        <f>ON46/ON20/1000</f>
        <v>0.16636412855809365</v>
      </c>
    </row>
    <row r="56" spans="2:404" ht="14.25">
      <c r="B56" s="372" t="s">
        <v>41</v>
      </c>
      <c r="C56" s="365" t="s">
        <v>42</v>
      </c>
      <c r="D56" s="262">
        <v>4177</v>
      </c>
      <c r="E56" s="262">
        <v>2139</v>
      </c>
      <c r="F56" s="262">
        <v>2720</v>
      </c>
      <c r="G56" s="262">
        <v>5111</v>
      </c>
      <c r="H56" s="262">
        <v>1279</v>
      </c>
      <c r="I56" s="262">
        <f t="shared" si="535"/>
        <v>1500</v>
      </c>
      <c r="J56" s="262">
        <f t="shared" si="536"/>
        <v>16926</v>
      </c>
    </row>
    <row r="57" spans="2:404">
      <c r="B57" s="367" t="s">
        <v>41</v>
      </c>
      <c r="C57" s="365" t="s">
        <v>43</v>
      </c>
      <c r="D57" s="373"/>
      <c r="E57" s="373">
        <f t="shared" si="535"/>
        <v>0</v>
      </c>
      <c r="F57" s="373">
        <v>1463</v>
      </c>
      <c r="G57" s="373">
        <v>4082</v>
      </c>
      <c r="H57" s="373">
        <f t="shared" si="535"/>
        <v>0</v>
      </c>
      <c r="I57" s="262">
        <f t="shared" si="535"/>
        <v>0</v>
      </c>
      <c r="J57" s="373">
        <f t="shared" si="536"/>
        <v>5545</v>
      </c>
      <c r="NW57" s="437" t="s">
        <v>64</v>
      </c>
      <c r="NX57" s="315" t="s">
        <v>20</v>
      </c>
      <c r="NY57" s="315" t="s">
        <v>21</v>
      </c>
      <c r="NZ57" s="315" t="s">
        <v>22</v>
      </c>
      <c r="OA57" s="315" t="s">
        <v>23</v>
      </c>
      <c r="OB57" s="315" t="s">
        <v>24</v>
      </c>
      <c r="OC57" s="315" t="s">
        <v>25</v>
      </c>
      <c r="OD57" s="315" t="s">
        <v>26</v>
      </c>
      <c r="OE57" s="315" t="s">
        <v>27</v>
      </c>
      <c r="OF57" s="315" t="s">
        <v>28</v>
      </c>
      <c r="OG57" s="315" t="s">
        <v>29</v>
      </c>
      <c r="OH57" s="315" t="s">
        <v>30</v>
      </c>
      <c r="OI57" s="315" t="s">
        <v>31</v>
      </c>
      <c r="OJ57" s="314" t="s">
        <v>32</v>
      </c>
      <c r="OK57" s="314" t="s">
        <v>33</v>
      </c>
      <c r="OL57" s="314" t="s">
        <v>34</v>
      </c>
      <c r="OM57" s="314" t="s">
        <v>35</v>
      </c>
      <c r="ON57" s="314" t="s">
        <v>36</v>
      </c>
    </row>
    <row r="58" spans="2:404">
      <c r="B58" s="367" t="s">
        <v>41</v>
      </c>
      <c r="C58" s="365" t="s">
        <v>44</v>
      </c>
      <c r="D58" s="262">
        <f t="shared" si="535"/>
        <v>0</v>
      </c>
      <c r="E58" s="373">
        <f t="shared" si="535"/>
        <v>0</v>
      </c>
      <c r="F58" s="373">
        <v>5684</v>
      </c>
      <c r="G58" s="373">
        <f t="shared" si="535"/>
        <v>0</v>
      </c>
      <c r="H58" s="373">
        <f t="shared" si="535"/>
        <v>0</v>
      </c>
      <c r="I58" s="262">
        <f t="shared" si="535"/>
        <v>0</v>
      </c>
      <c r="J58" s="373">
        <f t="shared" si="536"/>
        <v>5684</v>
      </c>
      <c r="NW58" s="438"/>
      <c r="NX58" s="318">
        <f>SUM(NX59:NX64)</f>
        <v>37245.261965521087</v>
      </c>
      <c r="NY58" s="318">
        <f t="shared" ref="NY58:OI58" si="537">SUM(NY59:NY64)</f>
        <v>31974.539850660196</v>
      </c>
      <c r="NZ58" s="318">
        <f t="shared" si="537"/>
        <v>41942.064167294142</v>
      </c>
      <c r="OA58" s="318">
        <f t="shared" si="537"/>
        <v>45739.997292648877</v>
      </c>
      <c r="OB58" s="318">
        <f t="shared" si="537"/>
        <v>45238.949940716615</v>
      </c>
      <c r="OC58" s="318">
        <f t="shared" si="537"/>
        <v>50818.090893282475</v>
      </c>
      <c r="OD58" s="318">
        <f t="shared" si="537"/>
        <v>54420.251665515367</v>
      </c>
      <c r="OE58" s="318">
        <f t="shared" si="537"/>
        <v>56291.219957549518</v>
      </c>
      <c r="OF58" s="318">
        <f t="shared" si="537"/>
        <v>52547.010468515575</v>
      </c>
      <c r="OG58" s="318">
        <f t="shared" si="537"/>
        <v>60116.053804702518</v>
      </c>
      <c r="OH58" s="318">
        <f t="shared" si="537"/>
        <v>69490.5170813984</v>
      </c>
      <c r="OI58" s="318">
        <f t="shared" si="537"/>
        <v>66962.553532170597</v>
      </c>
      <c r="OJ58" s="319">
        <f>SUM(NX58:OI58)</f>
        <v>612786.51061997539</v>
      </c>
      <c r="OK58" s="318">
        <f>NX58+NY58+NZ58</f>
        <v>111161.86598347542</v>
      </c>
      <c r="OL58" s="318">
        <f t="shared" ref="OL58:OL64" si="538">NY58+NZ58+OA58</f>
        <v>119656.6013106032</v>
      </c>
      <c r="OM58" s="318">
        <f t="shared" ref="OM58:OM64" si="539">NZ58+OA58+OB58</f>
        <v>132921.01140065963</v>
      </c>
      <c r="ON58" s="318">
        <f>OG58+OH58+OI58</f>
        <v>196569.12441827153</v>
      </c>
    </row>
    <row r="59" spans="2:404" ht="15" customHeight="1">
      <c r="NW59" s="230" t="s">
        <v>6</v>
      </c>
      <c r="NX59" s="322">
        <v>1100</v>
      </c>
      <c r="NY59" s="322">
        <v>1100</v>
      </c>
      <c r="NZ59" s="322">
        <v>1400</v>
      </c>
      <c r="OA59" s="322">
        <v>1600</v>
      </c>
      <c r="OB59" s="322">
        <v>1600</v>
      </c>
      <c r="OC59" s="322">
        <v>1700</v>
      </c>
      <c r="OD59" s="322">
        <v>1800</v>
      </c>
      <c r="OE59" s="322">
        <v>1800</v>
      </c>
      <c r="OF59" s="322">
        <v>1800</v>
      </c>
      <c r="OG59" s="322">
        <v>1800</v>
      </c>
      <c r="OH59" s="322">
        <v>1800</v>
      </c>
      <c r="OI59" s="322">
        <v>1700</v>
      </c>
      <c r="OJ59" s="324">
        <f t="shared" ref="OJ59:OJ64" si="540">SUM(NX59:OI59)</f>
        <v>19200</v>
      </c>
      <c r="OK59" s="322">
        <f t="shared" ref="OK59:OK64" si="541">NX59+NY59+NZ59</f>
        <v>3600</v>
      </c>
      <c r="OL59" s="322">
        <f t="shared" si="538"/>
        <v>4100</v>
      </c>
      <c r="OM59" s="322">
        <f t="shared" si="539"/>
        <v>4600</v>
      </c>
      <c r="ON59" s="322">
        <f t="shared" ref="ON59:ON64" si="542">OG59+OH59+OI59</f>
        <v>5300</v>
      </c>
    </row>
    <row r="60" spans="2:404">
      <c r="B60" s="445" t="s">
        <v>0</v>
      </c>
      <c r="C60" s="446" t="s">
        <v>1</v>
      </c>
      <c r="D60" s="445" t="s">
        <v>48</v>
      </c>
      <c r="E60" s="448"/>
      <c r="F60" s="448"/>
      <c r="G60" s="448"/>
      <c r="H60" s="448"/>
      <c r="I60" s="448"/>
      <c r="J60" s="449"/>
      <c r="NW60" s="230" t="s">
        <v>5</v>
      </c>
      <c r="NX60" s="323">
        <v>7212</v>
      </c>
      <c r="NY60" s="323">
        <v>6513</v>
      </c>
      <c r="NZ60" s="323">
        <v>8066</v>
      </c>
      <c r="OA60" s="323">
        <v>8034</v>
      </c>
      <c r="OB60" s="323">
        <v>8303</v>
      </c>
      <c r="OC60" s="323">
        <v>10047</v>
      </c>
      <c r="OD60" s="323">
        <v>10411</v>
      </c>
      <c r="OE60" s="323">
        <v>10662</v>
      </c>
      <c r="OF60" s="323">
        <v>9786</v>
      </c>
      <c r="OG60" s="323">
        <v>11805</v>
      </c>
      <c r="OH60" s="323">
        <v>11551</v>
      </c>
      <c r="OI60" s="323">
        <v>11609</v>
      </c>
      <c r="OJ60" s="325">
        <f t="shared" si="540"/>
        <v>113999</v>
      </c>
      <c r="OK60" s="323">
        <f t="shared" si="541"/>
        <v>21791</v>
      </c>
      <c r="OL60" s="323">
        <f t="shared" si="538"/>
        <v>22613</v>
      </c>
      <c r="OM60" s="323">
        <f t="shared" si="539"/>
        <v>24403</v>
      </c>
      <c r="ON60" s="323">
        <f t="shared" si="542"/>
        <v>34965</v>
      </c>
    </row>
    <row r="61" spans="2:404">
      <c r="B61" s="445"/>
      <c r="C61" s="447"/>
      <c r="D61" s="422" t="s">
        <v>5</v>
      </c>
      <c r="E61" s="423" t="s">
        <v>6</v>
      </c>
      <c r="F61" s="423" t="s">
        <v>7</v>
      </c>
      <c r="G61" s="423" t="s">
        <v>8</v>
      </c>
      <c r="H61" s="423" t="s">
        <v>9</v>
      </c>
      <c r="I61" s="423" t="s">
        <v>10</v>
      </c>
      <c r="J61" s="423" t="s">
        <v>11</v>
      </c>
      <c r="NW61" s="230" t="s">
        <v>10</v>
      </c>
      <c r="NX61" s="322">
        <v>100</v>
      </c>
      <c r="NY61" s="322">
        <v>100</v>
      </c>
      <c r="NZ61" s="322">
        <v>950</v>
      </c>
      <c r="OA61" s="322">
        <v>1990</v>
      </c>
      <c r="OB61" s="322">
        <v>1800</v>
      </c>
      <c r="OC61" s="322">
        <v>2260</v>
      </c>
      <c r="OD61" s="322">
        <v>3400</v>
      </c>
      <c r="OE61" s="322">
        <v>3850</v>
      </c>
      <c r="OF61" s="322">
        <v>3500</v>
      </c>
      <c r="OG61" s="322">
        <v>3400</v>
      </c>
      <c r="OH61" s="322">
        <v>4100</v>
      </c>
      <c r="OI61" s="322">
        <v>4100</v>
      </c>
      <c r="OJ61" s="324">
        <f t="shared" si="540"/>
        <v>29550</v>
      </c>
      <c r="OK61" s="322">
        <f t="shared" si="541"/>
        <v>1150</v>
      </c>
      <c r="OL61" s="322">
        <f t="shared" si="538"/>
        <v>3040</v>
      </c>
      <c r="OM61" s="322">
        <f t="shared" si="539"/>
        <v>4740</v>
      </c>
      <c r="ON61" s="322">
        <f t="shared" si="542"/>
        <v>11600</v>
      </c>
    </row>
    <row r="62" spans="2:404" ht="15" customHeight="1">
      <c r="B62" s="450" t="s">
        <v>37</v>
      </c>
      <c r="C62" s="451"/>
      <c r="D62" s="385">
        <f>IFERROR(D44/D53,0)</f>
        <v>0.39205526770293608</v>
      </c>
      <c r="E62" s="385">
        <f t="shared" ref="E62:J62" si="543">IFERROR(E44/E53,0)</f>
        <v>0.42271622253389435</v>
      </c>
      <c r="F62" s="385">
        <f t="shared" si="543"/>
        <v>0.40826228272645909</v>
      </c>
      <c r="G62" s="385">
        <f t="shared" ref="G62:H62" si="544">IFERROR(G44/G53,0)</f>
        <v>0.39628503437334744</v>
      </c>
      <c r="H62" s="385">
        <f t="shared" si="544"/>
        <v>0.24945454545454546</v>
      </c>
      <c r="I62" s="385">
        <f t="shared" ref="H62:J62" si="545">IFERROR(I44/I53,0)</f>
        <v>0</v>
      </c>
      <c r="J62" s="385">
        <f>IFERROR(J44/J53,0)</f>
        <v>0.36533007777174892</v>
      </c>
      <c r="NW62" s="230" t="s">
        <v>9</v>
      </c>
      <c r="NX62" s="322"/>
      <c r="NY62" s="322"/>
      <c r="NZ62" s="322"/>
      <c r="OA62" s="322"/>
      <c r="OB62" s="322"/>
      <c r="OC62" s="322"/>
      <c r="OD62" s="322"/>
      <c r="OE62" s="322"/>
      <c r="OF62" s="322"/>
      <c r="OG62" s="322"/>
      <c r="OH62" s="322"/>
      <c r="OI62" s="322"/>
      <c r="OJ62" s="324"/>
      <c r="OK62" s="322"/>
      <c r="OL62" s="322"/>
      <c r="OM62" s="322"/>
      <c r="ON62" s="322"/>
    </row>
    <row r="63" spans="2:404" ht="15" customHeight="1">
      <c r="B63" s="454" t="s">
        <v>65</v>
      </c>
      <c r="C63" s="455"/>
      <c r="D63" s="424">
        <f>D62-100%</f>
        <v>-0.60794473229706392</v>
      </c>
      <c r="E63" s="417">
        <f t="shared" ref="E63:J63" si="546">E62-100%</f>
        <v>-0.57728377746610571</v>
      </c>
      <c r="F63" s="417">
        <f t="shared" si="546"/>
        <v>-0.59173771727354096</v>
      </c>
      <c r="G63" s="417">
        <f t="shared" ref="G63:H63" si="547">G62-100%</f>
        <v>-0.6037149656266525</v>
      </c>
      <c r="H63" s="417">
        <f t="shared" si="547"/>
        <v>-0.75054545454545452</v>
      </c>
      <c r="I63" s="417">
        <f t="shared" si="546"/>
        <v>-1</v>
      </c>
      <c r="J63" s="419">
        <f t="shared" si="546"/>
        <v>-0.63466992222825103</v>
      </c>
      <c r="NW63" s="230" t="s">
        <v>8</v>
      </c>
      <c r="NX63" s="323">
        <v>7804.2619655210892</v>
      </c>
      <c r="NY63" s="323">
        <v>8909.539850660196</v>
      </c>
      <c r="NZ63" s="323">
        <v>8846.0641672941401</v>
      </c>
      <c r="OA63" s="323">
        <v>10780.997292648875</v>
      </c>
      <c r="OB63" s="323">
        <v>9044.9499407166168</v>
      </c>
      <c r="OC63" s="323">
        <v>8431.0908932824732</v>
      </c>
      <c r="OD63" s="323">
        <v>10007.251665515369</v>
      </c>
      <c r="OE63" s="323">
        <v>9130.2199575495142</v>
      </c>
      <c r="OF63" s="323">
        <v>8146.0104685155729</v>
      </c>
      <c r="OG63" s="323">
        <v>10870.053804702518</v>
      </c>
      <c r="OH63" s="323">
        <v>15027.517081398399</v>
      </c>
      <c r="OI63" s="323">
        <v>13039.553532170605</v>
      </c>
      <c r="OJ63" s="325">
        <f t="shared" si="540"/>
        <v>120037.51061997536</v>
      </c>
      <c r="OK63" s="323">
        <f t="shared" si="541"/>
        <v>25559.865983475429</v>
      </c>
      <c r="OL63" s="323">
        <f t="shared" si="538"/>
        <v>28536.601310603211</v>
      </c>
      <c r="OM63" s="323">
        <f t="shared" si="539"/>
        <v>28672.011400659634</v>
      </c>
      <c r="ON63" s="323">
        <f t="shared" si="542"/>
        <v>38937.124418271524</v>
      </c>
    </row>
    <row r="64" spans="2:404" ht="15" customHeight="1">
      <c r="B64" s="452" t="s">
        <v>38</v>
      </c>
      <c r="C64" s="398" t="s">
        <v>39</v>
      </c>
      <c r="D64" s="119">
        <f>IFERROR(D45/D54,0)</f>
        <v>2.3056994818652852</v>
      </c>
      <c r="E64" s="119">
        <f t="shared" ref="E64:J64" si="548">IFERROR(E45/E54,0)</f>
        <v>0</v>
      </c>
      <c r="F64" s="119">
        <f t="shared" si="548"/>
        <v>0.28947368421052633</v>
      </c>
      <c r="G64" s="119">
        <f t="shared" ref="G64:H64" si="549">IFERROR(G45/G54,0)</f>
        <v>0</v>
      </c>
      <c r="H64" s="119">
        <f t="shared" si="549"/>
        <v>0</v>
      </c>
      <c r="I64" s="119"/>
      <c r="J64" s="393">
        <f t="shared" ref="I64:J64" si="550">IFERROR(J45/J54,0)</f>
        <v>0.42559033498077981</v>
      </c>
      <c r="NW64" s="231" t="s">
        <v>7</v>
      </c>
      <c r="NX64" s="323">
        <v>21029</v>
      </c>
      <c r="NY64" s="323">
        <v>15352</v>
      </c>
      <c r="NZ64" s="323">
        <v>22680</v>
      </c>
      <c r="OA64" s="323">
        <v>23335</v>
      </c>
      <c r="OB64" s="323">
        <v>24491</v>
      </c>
      <c r="OC64" s="323">
        <v>28380</v>
      </c>
      <c r="OD64" s="323">
        <v>28802</v>
      </c>
      <c r="OE64" s="323">
        <v>30849</v>
      </c>
      <c r="OF64" s="323">
        <v>29315</v>
      </c>
      <c r="OG64" s="323">
        <v>32241</v>
      </c>
      <c r="OH64" s="323">
        <v>37012</v>
      </c>
      <c r="OI64" s="323">
        <v>36514</v>
      </c>
      <c r="OJ64" s="325">
        <f t="shared" si="540"/>
        <v>330000</v>
      </c>
      <c r="OK64" s="323">
        <f t="shared" si="541"/>
        <v>59061</v>
      </c>
      <c r="OL64" s="323">
        <f t="shared" si="538"/>
        <v>61367</v>
      </c>
      <c r="OM64" s="323">
        <f t="shared" si="539"/>
        <v>70506</v>
      </c>
      <c r="ON64" s="323">
        <f t="shared" si="542"/>
        <v>105767</v>
      </c>
    </row>
    <row r="65" spans="2:404" ht="15" customHeight="1">
      <c r="B65" s="453"/>
      <c r="C65" s="399" t="s">
        <v>40</v>
      </c>
      <c r="D65" s="119">
        <f t="shared" ref="D65:J67" si="551">IFERROR(D46/D55,0)</f>
        <v>0.25</v>
      </c>
      <c r="E65" s="119"/>
      <c r="F65" s="119">
        <f t="shared" si="551"/>
        <v>0.28575621209156721</v>
      </c>
      <c r="G65" s="119">
        <f t="shared" ref="G65:H65" si="552">IFERROR(G46/G55,0)</f>
        <v>0.48926574057369654</v>
      </c>
      <c r="H65" s="119">
        <f t="shared" si="552"/>
        <v>0</v>
      </c>
      <c r="I65" s="119">
        <f>IFERROR(I46/I55,0)</f>
        <v>0</v>
      </c>
      <c r="J65" s="394">
        <f t="shared" ref="I65:J65" si="553">IFERROR(J46/J55,0)</f>
        <v>0.30361991407632044</v>
      </c>
      <c r="K65" s="141"/>
    </row>
    <row r="66" spans="2:404" ht="15" customHeight="1">
      <c r="B66" s="425" t="s">
        <v>41</v>
      </c>
      <c r="C66" s="399" t="s">
        <v>42</v>
      </c>
      <c r="D66" s="119">
        <f t="shared" ref="D66:J67" si="554">IFERROR(D47/D56,0)</f>
        <v>0.35192722049317693</v>
      </c>
      <c r="E66" s="119">
        <f t="shared" si="554"/>
        <v>0.41377746610565685</v>
      </c>
      <c r="F66" s="119">
        <f>IFERROR(F47/F56,0)</f>
        <v>0.4661764705882353</v>
      </c>
      <c r="G66" s="119">
        <f t="shared" ref="G66:H66" si="555">IFERROR(G47/G56,0)</f>
        <v>0.64234005087067114</v>
      </c>
      <c r="H66" s="119">
        <f t="shared" si="555"/>
        <v>0.26817826426896013</v>
      </c>
      <c r="I66" s="119">
        <f>IFERROR(I47/I56,0)</f>
        <v>0</v>
      </c>
      <c r="J66" s="394">
        <f t="shared" ref="I66:J66" si="556">IFERROR(J47/J56,0)</f>
        <v>0.42828016069951552</v>
      </c>
      <c r="K66" s="141"/>
      <c r="L66" s="141"/>
    </row>
    <row r="67" spans="2:404">
      <c r="B67" s="426" t="s">
        <v>41</v>
      </c>
      <c r="C67" s="398" t="s">
        <v>43</v>
      </c>
      <c r="D67" s="412">
        <f t="shared" ref="D67" si="557">IFERROR(D48/D57,0)</f>
        <v>0</v>
      </c>
      <c r="E67" s="412"/>
      <c r="F67" s="412">
        <f>IFERROR(F48/F57,0)</f>
        <v>0.80177717019822281</v>
      </c>
      <c r="G67" s="412"/>
      <c r="H67" s="412"/>
      <c r="I67" s="412"/>
      <c r="J67" s="418">
        <f t="shared" ref="I67:J67" si="558">IFERROR(J48/J57,0)</f>
        <v>0.21154192966636609</v>
      </c>
      <c r="K67" s="141"/>
      <c r="NW67" s="437" t="s">
        <v>66</v>
      </c>
      <c r="NX67" s="315" t="s">
        <v>20</v>
      </c>
      <c r="NY67" s="315" t="s">
        <v>21</v>
      </c>
      <c r="NZ67" s="315" t="s">
        <v>22</v>
      </c>
      <c r="OA67" s="315" t="s">
        <v>23</v>
      </c>
      <c r="OB67" s="315" t="s">
        <v>24</v>
      </c>
      <c r="OC67" s="315" t="s">
        <v>25</v>
      </c>
      <c r="OD67" s="315" t="s">
        <v>26</v>
      </c>
      <c r="OE67" s="315" t="s">
        <v>27</v>
      </c>
      <c r="OF67" s="315" t="s">
        <v>28</v>
      </c>
      <c r="OG67" s="315" t="s">
        <v>29</v>
      </c>
      <c r="OH67" s="315" t="s">
        <v>30</v>
      </c>
      <c r="OI67" s="315" t="s">
        <v>31</v>
      </c>
      <c r="OJ67" s="331" t="s">
        <v>32</v>
      </c>
      <c r="OK67" s="314" t="s">
        <v>33</v>
      </c>
      <c r="OL67" s="314" t="s">
        <v>34</v>
      </c>
      <c r="OM67" s="314" t="s">
        <v>35</v>
      </c>
      <c r="ON67" s="314" t="s">
        <v>36</v>
      </c>
    </row>
    <row r="68" spans="2:404">
      <c r="B68" s="427" t="s">
        <v>41</v>
      </c>
      <c r="C68" s="400" t="s">
        <v>44</v>
      </c>
      <c r="D68" s="413"/>
      <c r="E68" s="413"/>
      <c r="F68" s="413">
        <f t="shared" ref="D68:J68" si="559">IFERROR(F49/F58,0)</f>
        <v>0.52339901477832518</v>
      </c>
      <c r="G68" s="413"/>
      <c r="H68" s="413"/>
      <c r="I68" s="413"/>
      <c r="J68" s="389">
        <f t="shared" ref="I68:J68" si="560">IFERROR(J49/J58,0)</f>
        <v>0.52339901477832518</v>
      </c>
      <c r="K68" s="141"/>
      <c r="NW68" s="438"/>
      <c r="NX68" s="241">
        <f>NX40/NX58</f>
        <v>0.92712463754359542</v>
      </c>
      <c r="NY68" s="241">
        <f t="shared" ref="NY68:ON68" si="561">NY40/NY58</f>
        <v>1.1719324242042626</v>
      </c>
      <c r="NZ68" s="241">
        <f t="shared" si="561"/>
        <v>1.2574249991521678</v>
      </c>
      <c r="OA68" s="241">
        <f t="shared" si="561"/>
        <v>1.0751421712021725</v>
      </c>
      <c r="OB68" s="241">
        <f t="shared" si="561"/>
        <v>1.1656769237372944</v>
      </c>
      <c r="OC68" s="241">
        <f t="shared" si="561"/>
        <v>0.99521644971289924</v>
      </c>
      <c r="OD68" s="241">
        <f t="shared" si="561"/>
        <v>0.91699318677760133</v>
      </c>
      <c r="OE68" s="241">
        <f t="shared" si="561"/>
        <v>0.94634651798580427</v>
      </c>
      <c r="OF68" s="241">
        <f t="shared" si="561"/>
        <v>0.84587114668743657</v>
      </c>
      <c r="OG68" s="241">
        <f t="shared" si="561"/>
        <v>0.94889794638412861</v>
      </c>
      <c r="OH68" s="241">
        <f t="shared" si="561"/>
        <v>0.79566252090532497</v>
      </c>
      <c r="OI68" s="241">
        <f t="shared" si="561"/>
        <v>0.70027198077910557</v>
      </c>
      <c r="OJ68" s="330">
        <f t="shared" si="561"/>
        <v>0.95314924509201571</v>
      </c>
      <c r="OK68" s="241">
        <f>OK40/OK58</f>
        <v>1.1221654017443654</v>
      </c>
      <c r="OL68" s="241">
        <f t="shared" si="561"/>
        <v>1.1649002100450627</v>
      </c>
      <c r="OM68" s="241">
        <f>OM40/OM58</f>
        <v>1.16347294058607</v>
      </c>
      <c r="ON68" s="241">
        <f t="shared" si="561"/>
        <v>0.81003057052432748</v>
      </c>
    </row>
    <row r="69" spans="2:404" ht="15" customHeight="1">
      <c r="B69" s="441" t="s">
        <v>55</v>
      </c>
      <c r="C69" s="442"/>
      <c r="D69" s="414">
        <f>R6</f>
        <v>0.48679135992158673</v>
      </c>
      <c r="E69" s="415">
        <f>R5</f>
        <v>0.22984313111235746</v>
      </c>
      <c r="F69" s="415">
        <f>R10</f>
        <v>0.55205127240343832</v>
      </c>
      <c r="G69" s="415">
        <f>R9</f>
        <v>0.47304568646744721</v>
      </c>
      <c r="H69" s="415">
        <f>H28</f>
        <v>8.1530070249646366E-3</v>
      </c>
      <c r="I69" s="415">
        <f>R7</f>
        <v>0.13364228140751461</v>
      </c>
      <c r="J69" s="421">
        <f>R4</f>
        <v>0.49046058676069559</v>
      </c>
      <c r="K69" s="141"/>
      <c r="NW69" s="230" t="s">
        <v>6</v>
      </c>
      <c r="NX69" s="317">
        <f>NX41/NX59</f>
        <v>1.2990909090909091</v>
      </c>
      <c r="NY69" s="317">
        <f t="shared" ref="NY69:ON74" si="562">NY41/NY59</f>
        <v>2.1672727272727275</v>
      </c>
      <c r="NZ69" s="317">
        <f t="shared" si="562"/>
        <v>1.9814285714285715</v>
      </c>
      <c r="OA69" s="317">
        <f t="shared" si="562"/>
        <v>1.2625</v>
      </c>
      <c r="OB69" s="317">
        <f t="shared" si="562"/>
        <v>1.391875</v>
      </c>
      <c r="OC69" s="317">
        <f t="shared" si="562"/>
        <v>1.48</v>
      </c>
      <c r="OD69" s="317">
        <f t="shared" si="562"/>
        <v>1.5583333333333333</v>
      </c>
      <c r="OE69" s="317">
        <f t="shared" si="562"/>
        <v>1.7277777777777779</v>
      </c>
      <c r="OF69" s="317">
        <f t="shared" si="562"/>
        <v>1.1394444444444445</v>
      </c>
      <c r="OG69" s="317">
        <f t="shared" si="562"/>
        <v>1.0727777777777778</v>
      </c>
      <c r="OH69" s="317">
        <f t="shared" si="562"/>
        <v>0.74111111111111116</v>
      </c>
      <c r="OI69" s="317">
        <f t="shared" si="562"/>
        <v>0.89470588235294113</v>
      </c>
      <c r="OJ69" s="320">
        <f t="shared" si="562"/>
        <v>1.3594791666666666</v>
      </c>
      <c r="OK69" s="317">
        <f t="shared" si="562"/>
        <v>1.8297222222222222</v>
      </c>
      <c r="OL69" s="317">
        <f t="shared" si="562"/>
        <v>1.7507317073170732</v>
      </c>
      <c r="OM69" s="317">
        <f t="shared" si="562"/>
        <v>1.5263043478260869</v>
      </c>
      <c r="ON69" s="317">
        <f t="shared" si="562"/>
        <v>0.90301886792452835</v>
      </c>
    </row>
    <row r="70" spans="2:404" ht="15" customHeight="1">
      <c r="B70" s="456" t="s">
        <v>65</v>
      </c>
      <c r="C70" s="455"/>
      <c r="D70" s="416">
        <f>D69-100%</f>
        <v>-0.51320864007841327</v>
      </c>
      <c r="E70" s="416">
        <f t="shared" ref="E70" si="563">E69-100%</f>
        <v>-0.77015686888764257</v>
      </c>
      <c r="F70" s="416">
        <f t="shared" ref="F70" si="564">F69-100%</f>
        <v>-0.44794872759656168</v>
      </c>
      <c r="G70" s="416">
        <f t="shared" ref="G70:H70" si="565">G69-100%</f>
        <v>-0.52695431353255273</v>
      </c>
      <c r="H70" s="416">
        <f t="shared" si="565"/>
        <v>-0.99184699297503531</v>
      </c>
      <c r="I70" s="420">
        <f t="shared" ref="I70" si="566">I69-100%</f>
        <v>-0.86635771859248534</v>
      </c>
      <c r="J70" s="417">
        <f t="shared" ref="J70" si="567">J69-100%</f>
        <v>-0.50953941323930441</v>
      </c>
      <c r="K70" s="141"/>
      <c r="NW70" s="230" t="s">
        <v>5</v>
      </c>
      <c r="NX70" s="316">
        <f t="shared" ref="NX70:OM74" si="568">NX42/NX60</f>
        <v>1.1462839711591792</v>
      </c>
      <c r="NY70" s="316">
        <f t="shared" si="568"/>
        <v>1.2857362198679565</v>
      </c>
      <c r="NZ70" s="316">
        <f t="shared" si="568"/>
        <v>1.2531614182990329</v>
      </c>
      <c r="OA70" s="316">
        <f t="shared" si="568"/>
        <v>1.0954692556634305</v>
      </c>
      <c r="OB70" s="316">
        <f t="shared" si="568"/>
        <v>1.2688184993375888</v>
      </c>
      <c r="OC70" s="316">
        <f t="shared" si="568"/>
        <v>0.97372349955210513</v>
      </c>
      <c r="OD70" s="316">
        <f t="shared" si="568"/>
        <v>1.1109403515512439</v>
      </c>
      <c r="OE70" s="316">
        <f t="shared" si="568"/>
        <v>1.0707184393172013</v>
      </c>
      <c r="OF70" s="316">
        <f t="shared" si="568"/>
        <v>1.24432863274065</v>
      </c>
      <c r="OG70" s="316">
        <f t="shared" si="568"/>
        <v>1.2376111817026683</v>
      </c>
      <c r="OH70" s="316">
        <f t="shared" si="568"/>
        <v>1.2056964764955416</v>
      </c>
      <c r="OI70" s="316">
        <f t="shared" si="568"/>
        <v>0.92858988715651647</v>
      </c>
      <c r="OJ70" s="321">
        <f t="shared" si="568"/>
        <v>1.1433784506881639</v>
      </c>
      <c r="OK70" s="316">
        <f t="shared" si="568"/>
        <v>1.2275251250516268</v>
      </c>
      <c r="OL70" s="316">
        <f t="shared" si="568"/>
        <v>1.206518374386415</v>
      </c>
      <c r="OM70" s="316">
        <f t="shared" si="568"/>
        <v>1.2065729623406958</v>
      </c>
      <c r="ON70" s="316">
        <f t="shared" si="562"/>
        <v>1.1244673244673244</v>
      </c>
    </row>
    <row r="71" spans="2:404" ht="15" customHeight="1">
      <c r="B71" s="443" t="s">
        <v>56</v>
      </c>
      <c r="C71" s="406" t="s">
        <v>57</v>
      </c>
      <c r="D71" s="402">
        <f>IFERROR(D44/1000/N$6,0)</f>
        <v>9.4218111572881277E-2</v>
      </c>
      <c r="E71" s="402">
        <f>E44/1000/N5</f>
        <v>0.45615863675730928</v>
      </c>
      <c r="F71" s="402">
        <f>F44/1000/N10</f>
        <v>0.11202746418479383</v>
      </c>
      <c r="G71" s="402">
        <f>G44/1000/N9</f>
        <v>0.30320881831753821</v>
      </c>
      <c r="H71" s="402">
        <f ca="1">H44/1000/O9</f>
        <v>9.0312532772728426E-5</v>
      </c>
      <c r="I71" s="402">
        <f>I44/1000/N7</f>
        <v>0</v>
      </c>
      <c r="J71" s="403">
        <f>J44/1000/N4</f>
        <v>0.14644598261070996</v>
      </c>
      <c r="K71" s="238"/>
      <c r="NW71" s="230" t="s">
        <v>10</v>
      </c>
      <c r="NX71" s="317">
        <f t="shared" si="568"/>
        <v>5.89</v>
      </c>
      <c r="NY71" s="317">
        <f t="shared" si="562"/>
        <v>10.4</v>
      </c>
      <c r="NZ71" s="317">
        <f t="shared" si="562"/>
        <v>1.0736842105263158</v>
      </c>
      <c r="OA71" s="317">
        <f t="shared" si="562"/>
        <v>0.65778894472361804</v>
      </c>
      <c r="OB71" s="317">
        <f t="shared" si="562"/>
        <v>0.70944444444444443</v>
      </c>
      <c r="OC71" s="317">
        <f t="shared" si="562"/>
        <v>0.81061946902654869</v>
      </c>
      <c r="OD71" s="317">
        <f t="shared" si="562"/>
        <v>0.54647058823529415</v>
      </c>
      <c r="OE71" s="317">
        <f t="shared" si="562"/>
        <v>0.40805194805194805</v>
      </c>
      <c r="OF71" s="317">
        <f t="shared" si="562"/>
        <v>0.24399999999999999</v>
      </c>
      <c r="OG71" s="317">
        <f t="shared" si="562"/>
        <v>0.32823529411764707</v>
      </c>
      <c r="OH71" s="317">
        <f t="shared" si="562"/>
        <v>0.27658536585365856</v>
      </c>
      <c r="OI71" s="317">
        <f t="shared" si="562"/>
        <v>0.23951219512195121</v>
      </c>
      <c r="OJ71" s="320">
        <f t="shared" si="562"/>
        <v>0.49346869712351948</v>
      </c>
      <c r="OK71" s="317">
        <f t="shared" si="562"/>
        <v>2.3034782608695652</v>
      </c>
      <c r="OL71" s="317">
        <f t="shared" si="562"/>
        <v>1.1082236842105264</v>
      </c>
      <c r="OM71" s="317">
        <f t="shared" si="562"/>
        <v>0.76075949367088602</v>
      </c>
      <c r="ON71" s="317">
        <f t="shared" si="562"/>
        <v>0.27862068965517239</v>
      </c>
    </row>
    <row r="72" spans="2:404" ht="15" customHeight="1">
      <c r="B72" s="443"/>
      <c r="C72" s="374" t="s">
        <v>39</v>
      </c>
      <c r="D72" s="119">
        <f>IFERROR(D45/1000/N$6,0)</f>
        <v>1.8470070330366593E-2</v>
      </c>
      <c r="E72" s="119"/>
      <c r="F72" s="119">
        <f>IFERROR(F45/1000/N$10,0)</f>
        <v>4.2654970786872E-3</v>
      </c>
      <c r="G72" s="119"/>
      <c r="H72" s="119"/>
      <c r="I72" s="119"/>
      <c r="J72" s="394">
        <f>IFERROR(J45/1000/N$4,0)</f>
        <v>6.2431624579148042E-3</v>
      </c>
      <c r="NW72" s="230" t="s">
        <v>9</v>
      </c>
      <c r="NX72" s="317"/>
      <c r="NY72" s="317"/>
      <c r="NZ72" s="317"/>
      <c r="OA72" s="317"/>
      <c r="OB72" s="317"/>
      <c r="OC72" s="317"/>
      <c r="OD72" s="317"/>
      <c r="OE72" s="317"/>
      <c r="OF72" s="317"/>
      <c r="OG72" s="317"/>
      <c r="OH72" s="317"/>
      <c r="OI72" s="317"/>
      <c r="OJ72" s="320"/>
      <c r="OK72" s="317"/>
      <c r="OL72" s="317"/>
      <c r="OM72" s="317"/>
      <c r="ON72" s="317"/>
    </row>
    <row r="73" spans="2:404" ht="15" customHeight="1">
      <c r="B73" s="443"/>
      <c r="C73" s="374" t="s">
        <v>40</v>
      </c>
      <c r="D73" s="119">
        <f>IFERROR(D46/1000/N$6,0)</f>
        <v>1.4734550488269979E-2</v>
      </c>
      <c r="E73" s="119"/>
      <c r="F73" s="119">
        <f>IFERROR(F46/1000/N$10,0)</f>
        <v>3.7756112020743367E-2</v>
      </c>
      <c r="G73" s="119">
        <f>IFERROR(G46/1000/N$9,0)</f>
        <v>0.1371646897876837</v>
      </c>
      <c r="H73" s="119">
        <f ca="1">IFERROR(H46/1000/O$9,0)</f>
        <v>0</v>
      </c>
      <c r="I73" s="119">
        <f>IFERROR(I46/1000/N$7,0)</f>
        <v>0</v>
      </c>
      <c r="J73" s="394">
        <f>IFERROR(J46/1000/N$4,0)</f>
        <v>4.8391517502179585E-2</v>
      </c>
      <c r="NW73" s="230" t="s">
        <v>8</v>
      </c>
      <c r="NX73" s="316">
        <f t="shared" si="568"/>
        <v>1.0385351024616496</v>
      </c>
      <c r="NY73" s="316">
        <f t="shared" si="562"/>
        <v>0.72652461389690637</v>
      </c>
      <c r="NZ73" s="316">
        <f t="shared" si="562"/>
        <v>1.3071349903554819</v>
      </c>
      <c r="OA73" s="316">
        <f t="shared" si="562"/>
        <v>0.94174961039299387</v>
      </c>
      <c r="OB73" s="316">
        <f t="shared" si="562"/>
        <v>1.3756847833935233</v>
      </c>
      <c r="OC73" s="316">
        <f t="shared" si="562"/>
        <v>1.3762157408651312</v>
      </c>
      <c r="OD73" s="316">
        <f t="shared" si="562"/>
        <v>1.0525367355651043</v>
      </c>
      <c r="OE73" s="316">
        <f t="shared" si="562"/>
        <v>1.2476150687455358</v>
      </c>
      <c r="OF73" s="316">
        <f t="shared" si="562"/>
        <v>1.101029766002056</v>
      </c>
      <c r="OG73" s="316">
        <f t="shared" si="562"/>
        <v>1.2021099651178411</v>
      </c>
      <c r="OH73" s="316">
        <f t="shared" si="562"/>
        <v>0.96762491908922021</v>
      </c>
      <c r="OI73" s="316">
        <f t="shared" si="562"/>
        <v>0.91582890246489113</v>
      </c>
      <c r="OJ73" s="321">
        <f t="shared" si="562"/>
        <v>1.0895177626104193</v>
      </c>
      <c r="OK73" s="316">
        <f t="shared" si="562"/>
        <v>1.0227361918446785</v>
      </c>
      <c r="OL73" s="316">
        <f t="shared" si="562"/>
        <v>0.98781910617806978</v>
      </c>
      <c r="OM73" s="316">
        <f t="shared" si="562"/>
        <v>1.1913708990508469</v>
      </c>
      <c r="ON73" s="316">
        <f t="shared" si="562"/>
        <v>1.0157401346628689</v>
      </c>
    </row>
    <row r="74" spans="2:404" ht="15" customHeight="1">
      <c r="B74" s="443"/>
      <c r="C74" s="374" t="s">
        <v>42</v>
      </c>
      <c r="D74" s="196">
        <f>IFERROR(D47/1000/N$6,0)</f>
        <v>6.1013490754244705E-2</v>
      </c>
      <c r="E74" s="196">
        <f>IFERROR(E47/1000/N$5,0)</f>
        <v>0.44651270710225915</v>
      </c>
      <c r="F74" s="196">
        <f>IFERROR(F47/1000/N$10,0)</f>
        <v>1.6389849381137484E-2</v>
      </c>
      <c r="G74" s="196">
        <f>IFERROR(G47/1000/N$9,0)</f>
        <v>0.16604412852985453</v>
      </c>
      <c r="H74" s="196">
        <f ca="1">IFERROR(H47/1000/O$9,0)</f>
        <v>9.0312532772728426E-5</v>
      </c>
      <c r="I74" s="196">
        <f>IFERROR(I47/1000/N$7,0)</f>
        <v>0</v>
      </c>
      <c r="J74" s="397">
        <f>IFERROR(J47/1000/N$4,0)</f>
        <v>5.8396286037156735E-2</v>
      </c>
      <c r="NW74" s="231" t="s">
        <v>7</v>
      </c>
      <c r="NX74" s="316">
        <f t="shared" si="568"/>
        <v>0.76755908507299442</v>
      </c>
      <c r="NY74" s="316">
        <f t="shared" si="562"/>
        <v>1.2507165190203231</v>
      </c>
      <c r="NZ74" s="316">
        <f t="shared" si="562"/>
        <v>1.2025573192239858</v>
      </c>
      <c r="OA74" s="316">
        <f t="shared" si="562"/>
        <v>1.1525176773087638</v>
      </c>
      <c r="OB74" s="316">
        <f t="shared" si="562"/>
        <v>1.0719039647217345</v>
      </c>
      <c r="OC74" s="316">
        <f t="shared" si="562"/>
        <v>0.87529950669485557</v>
      </c>
      <c r="OD74" s="316">
        <f t="shared" si="562"/>
        <v>0.80345114922574823</v>
      </c>
      <c r="OE74" s="316">
        <f t="shared" si="562"/>
        <v>0.83578073843560574</v>
      </c>
      <c r="OF74" s="316">
        <f t="shared" si="562"/>
        <v>0.69578713968957873</v>
      </c>
      <c r="OG74" s="316">
        <f t="shared" si="562"/>
        <v>0.80468968084116499</v>
      </c>
      <c r="OH74" s="316">
        <f t="shared" si="562"/>
        <v>0.63568572354911923</v>
      </c>
      <c r="OI74" s="316">
        <f t="shared" si="562"/>
        <v>0.58057183546037139</v>
      </c>
      <c r="OJ74" s="321">
        <f t="shared" si="562"/>
        <v>0.85028787878787881</v>
      </c>
      <c r="OK74" s="316">
        <f t="shared" si="562"/>
        <v>1.0601920048763143</v>
      </c>
      <c r="OL74" s="316">
        <f t="shared" si="562"/>
        <v>1.1955774276076718</v>
      </c>
      <c r="OM74" s="316">
        <f t="shared" si="562"/>
        <v>1.1406121464839871</v>
      </c>
      <c r="ON74" s="316">
        <f t="shared" si="562"/>
        <v>0.668176274263239</v>
      </c>
    </row>
    <row r="75" spans="2:404" ht="15" customHeight="1">
      <c r="B75" s="443"/>
      <c r="C75" s="365" t="s">
        <v>43</v>
      </c>
      <c r="D75" s="396">
        <f>IFERROR(D48/1000/N$6,0)</f>
        <v>0</v>
      </c>
      <c r="E75" s="396"/>
      <c r="F75" s="396">
        <f>IFERROR(F48/1000/N$10,0)</f>
        <v>1.5161903252424502E-2</v>
      </c>
      <c r="G75" s="396">
        <f>IFERROR(G48/1000/N$9,0)</f>
        <v>0</v>
      </c>
      <c r="H75" s="396">
        <f ca="1">IFERROR(H48/1000/O$9,0)</f>
        <v>0</v>
      </c>
      <c r="I75" s="396"/>
      <c r="J75" s="390">
        <f>IFERROR(J48/1000/N$4,0)</f>
        <v>9.4493284685600847E-3</v>
      </c>
    </row>
    <row r="76" spans="2:404" ht="15" customHeight="1">
      <c r="B76" s="444"/>
      <c r="C76" s="375" t="s">
        <v>44</v>
      </c>
      <c r="D76" s="411" t="s">
        <v>59</v>
      </c>
      <c r="E76" s="411" t="s">
        <v>59</v>
      </c>
      <c r="F76" s="411">
        <f>IFERROR(F49/1000/N$10,0)</f>
        <v>3.8454102451801274E-2</v>
      </c>
      <c r="G76" s="411" t="s">
        <v>59</v>
      </c>
      <c r="H76" s="411" t="s">
        <v>59</v>
      </c>
      <c r="I76" s="411" t="s">
        <v>59</v>
      </c>
      <c r="J76" s="395">
        <f>IFERROR(J49/1000/N$4,0)</f>
        <v>2.3965688144898765E-2</v>
      </c>
    </row>
  </sheetData>
  <mergeCells count="49">
    <mergeCell ref="B44:C44"/>
    <mergeCell ref="B45:B46"/>
    <mergeCell ref="B28:C28"/>
    <mergeCell ref="B29:B34"/>
    <mergeCell ref="D20:J20"/>
    <mergeCell ref="C42:C43"/>
    <mergeCell ref="D42:J42"/>
    <mergeCell ref="B23:B24"/>
    <mergeCell ref="B42:B43"/>
    <mergeCell ref="Q13:R13"/>
    <mergeCell ref="B22:C22"/>
    <mergeCell ref="Q14:R14"/>
    <mergeCell ref="Q15:Q16"/>
    <mergeCell ref="B14:B15"/>
    <mergeCell ref="B20:B21"/>
    <mergeCell ref="C20:C21"/>
    <mergeCell ref="Q19:Q20"/>
    <mergeCell ref="Q18:R18"/>
    <mergeCell ref="B13:C13"/>
    <mergeCell ref="O2:R2"/>
    <mergeCell ref="L2:N2"/>
    <mergeCell ref="B11:B12"/>
    <mergeCell ref="C11:C12"/>
    <mergeCell ref="D11:J11"/>
    <mergeCell ref="B2:B3"/>
    <mergeCell ref="C2:C3"/>
    <mergeCell ref="B4:C4"/>
    <mergeCell ref="B5:B6"/>
    <mergeCell ref="D2:J2"/>
    <mergeCell ref="O3:P3"/>
    <mergeCell ref="B51:B52"/>
    <mergeCell ref="C51:C52"/>
    <mergeCell ref="D51:J51"/>
    <mergeCell ref="B53:C53"/>
    <mergeCell ref="B54:B55"/>
    <mergeCell ref="B69:C69"/>
    <mergeCell ref="B71:B76"/>
    <mergeCell ref="B60:B61"/>
    <mergeCell ref="C60:C61"/>
    <mergeCell ref="D60:J60"/>
    <mergeCell ref="B62:C62"/>
    <mergeCell ref="B64:B65"/>
    <mergeCell ref="B63:C63"/>
    <mergeCell ref="B70:C70"/>
    <mergeCell ref="NW48:NW49"/>
    <mergeCell ref="NW31:NW32"/>
    <mergeCell ref="NW22:NW23"/>
    <mergeCell ref="NW67:NW68"/>
    <mergeCell ref="NW57:NW58"/>
  </mergeCells>
  <conditionalFormatting sqref="L5:L10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5:R1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E623-82D7-40E1-80BC-E144C52DCF56}">
  <dimension ref="A1:DT112"/>
  <sheetViews>
    <sheetView workbookViewId="0">
      <pane xSplit="3" ySplit="2" topLeftCell="BR3" activePane="bottomRight" state="frozen"/>
      <selection pane="bottomRight" activeCell="BV10" sqref="BV10"/>
      <selection pane="bottomLeft"/>
      <selection pane="topRight"/>
    </sheetView>
  </sheetViews>
  <sheetFormatPr defaultColWidth="9.25" defaultRowHeight="14.25" customHeight="1"/>
  <cols>
    <col min="1" max="1" width="13.75" style="38" customWidth="1"/>
    <col min="2" max="2" width="13" style="38" bestFit="1" customWidth="1"/>
    <col min="3" max="3" width="14" customWidth="1"/>
    <col min="4" max="4" width="14.875" hidden="1" customWidth="1"/>
    <col min="5" max="5" width="14" hidden="1" customWidth="1"/>
    <col min="6" max="6" width="10.875" hidden="1" customWidth="1"/>
    <col min="7" max="8" width="13" hidden="1" customWidth="1"/>
    <col min="9" max="9" width="13.625" hidden="1" customWidth="1"/>
    <col min="10" max="10" width="13" hidden="1" customWidth="1"/>
    <col min="11" max="11" width="16.5" hidden="1" customWidth="1"/>
    <col min="12" max="12" width="15" hidden="1" customWidth="1"/>
    <col min="13" max="13" width="17.5" hidden="1" customWidth="1"/>
    <col min="14" max="14" width="14.875" hidden="1" customWidth="1"/>
    <col min="15" max="15" width="8.75" hidden="1" customWidth="1"/>
    <col min="16" max="16" width="13.375" hidden="1" customWidth="1"/>
    <col min="17" max="17" width="14.875" hidden="1" customWidth="1"/>
    <col min="18" max="18" width="9.5" hidden="1" customWidth="1"/>
    <col min="19" max="19" width="14.75" hidden="1" customWidth="1"/>
    <col min="20" max="20" width="15.25" hidden="1" customWidth="1"/>
    <col min="21" max="21" width="8.75" hidden="1" customWidth="1"/>
    <col min="22" max="22" width="14.5" hidden="1" customWidth="1"/>
    <col min="23" max="23" width="14.25" hidden="1" customWidth="1"/>
    <col min="24" max="24" width="9.125" hidden="1" customWidth="1"/>
    <col min="25" max="26" width="15.5" hidden="1" customWidth="1"/>
    <col min="27" max="27" width="10.125" hidden="1" customWidth="1"/>
    <col min="28" max="29" width="14" hidden="1" customWidth="1"/>
    <col min="30" max="30" width="10.625" hidden="1" customWidth="1"/>
    <col min="31" max="31" width="14" hidden="1" customWidth="1"/>
    <col min="32" max="32" width="15.5" hidden="1" customWidth="1"/>
    <col min="33" max="33" width="9.625" hidden="1" customWidth="1"/>
    <col min="34" max="34" width="15.5" hidden="1" customWidth="1"/>
    <col min="35" max="35" width="14.125" hidden="1" customWidth="1"/>
    <col min="36" max="36" width="10.5" hidden="1" customWidth="1"/>
    <col min="37" max="37" width="15.5" hidden="1" customWidth="1"/>
    <col min="38" max="38" width="14.375" hidden="1" customWidth="1"/>
    <col min="39" max="39" width="11.875" hidden="1" customWidth="1"/>
    <col min="40" max="40" width="15.5" hidden="1" customWidth="1"/>
    <col min="41" max="41" width="14.75" hidden="1" customWidth="1"/>
    <col min="42" max="42" width="10.375" hidden="1" customWidth="1"/>
    <col min="43" max="44" width="15.5" hidden="1" customWidth="1"/>
    <col min="45" max="45" width="11.25" hidden="1" customWidth="1"/>
    <col min="46" max="46" width="15.5" hidden="1" customWidth="1"/>
    <col min="47" max="47" width="15.125" hidden="1" customWidth="1"/>
    <col min="48" max="48" width="8.75" hidden="1" customWidth="1"/>
    <col min="49" max="50" width="15.5" hidden="1" customWidth="1"/>
    <col min="51" max="51" width="9.375" hidden="1" customWidth="1"/>
    <col min="52" max="52" width="15.5" hidden="1" customWidth="1"/>
    <col min="53" max="53" width="15" hidden="1" customWidth="1"/>
    <col min="54" max="54" width="10.25" hidden="1" customWidth="1"/>
    <col min="55" max="56" width="15.5" hidden="1" customWidth="1"/>
    <col min="57" max="57" width="10.125" hidden="1" customWidth="1"/>
    <col min="58" max="58" width="10.25" hidden="1" customWidth="1"/>
    <col min="59" max="59" width="6.625" hidden="1" customWidth="1"/>
    <col min="60" max="66" width="15.5" hidden="1" customWidth="1"/>
    <col min="67" max="68" width="9.25" hidden="1" customWidth="1"/>
    <col min="69" max="69" width="14" hidden="1" customWidth="1"/>
    <col min="70" max="70" width="15.875" customWidth="1"/>
    <col min="71" max="71" width="13" bestFit="1" customWidth="1"/>
    <col min="73" max="73" width="13" bestFit="1" customWidth="1"/>
    <col min="74" max="74" width="15.125" customWidth="1"/>
    <col min="76" max="76" width="13" bestFit="1" customWidth="1"/>
    <col min="79" max="79" width="13" bestFit="1" customWidth="1"/>
    <col min="83" max="83" width="12" bestFit="1" customWidth="1"/>
    <col min="110" max="110" width="12.875" customWidth="1"/>
    <col min="112" max="112" width="12.25" customWidth="1"/>
  </cols>
  <sheetData>
    <row r="1" spans="1:124" ht="15">
      <c r="A1" s="490" t="s">
        <v>67</v>
      </c>
      <c r="B1" s="490" t="s">
        <v>68</v>
      </c>
      <c r="C1" s="492" t="s">
        <v>69</v>
      </c>
      <c r="D1" s="499">
        <v>2025</v>
      </c>
      <c r="E1" s="499"/>
      <c r="F1" s="499"/>
      <c r="G1" s="486" t="s">
        <v>70</v>
      </c>
      <c r="H1" s="486"/>
      <c r="I1" s="486"/>
      <c r="J1" s="486" t="s">
        <v>71</v>
      </c>
      <c r="K1" s="486"/>
      <c r="L1" s="486"/>
      <c r="M1" s="486" t="s">
        <v>72</v>
      </c>
      <c r="N1" s="486"/>
      <c r="O1" s="486"/>
      <c r="P1" s="487" t="s">
        <v>73</v>
      </c>
      <c r="Q1" s="487"/>
      <c r="R1" s="487"/>
      <c r="S1" s="488" t="s">
        <v>74</v>
      </c>
      <c r="T1" s="488"/>
      <c r="U1" s="488"/>
      <c r="V1" s="487" t="s">
        <v>75</v>
      </c>
      <c r="W1" s="487"/>
      <c r="X1" s="487"/>
      <c r="Y1" s="489" t="s">
        <v>76</v>
      </c>
      <c r="Z1" s="489"/>
      <c r="AA1" s="489"/>
      <c r="AB1" s="487" t="s">
        <v>77</v>
      </c>
      <c r="AC1" s="487"/>
      <c r="AD1" s="487"/>
      <c r="AE1" s="489" t="s">
        <v>78</v>
      </c>
      <c r="AF1" s="489"/>
      <c r="AG1" s="489"/>
      <c r="AH1" s="487" t="s">
        <v>79</v>
      </c>
      <c r="AI1" s="487"/>
      <c r="AJ1" s="487"/>
      <c r="AK1" s="489" t="s">
        <v>80</v>
      </c>
      <c r="AL1" s="489"/>
      <c r="AM1" s="489"/>
      <c r="AN1" s="487" t="s">
        <v>81</v>
      </c>
      <c r="AO1" s="487"/>
      <c r="AP1" s="487"/>
      <c r="AQ1" s="502" t="s">
        <v>33</v>
      </c>
      <c r="AR1" s="502"/>
      <c r="AS1" s="502"/>
      <c r="AT1" s="502" t="s">
        <v>34</v>
      </c>
      <c r="AU1" s="502"/>
      <c r="AV1" s="502"/>
      <c r="AW1" s="502" t="s">
        <v>35</v>
      </c>
      <c r="AX1" s="502"/>
      <c r="AY1" s="502"/>
      <c r="AZ1" s="502" t="s">
        <v>36</v>
      </c>
      <c r="BA1" s="502"/>
      <c r="BB1" s="502"/>
      <c r="BC1" s="483" t="s">
        <v>82</v>
      </c>
      <c r="BD1" s="483"/>
      <c r="BE1" s="483"/>
      <c r="BF1" s="39"/>
      <c r="BG1" s="39"/>
      <c r="BH1" s="39"/>
      <c r="BI1" s="39"/>
      <c r="BJ1" s="39"/>
      <c r="BK1" s="39"/>
      <c r="BL1" s="39"/>
      <c r="BM1" s="39"/>
      <c r="BN1" s="39"/>
      <c r="BO1" s="490" t="s">
        <v>67</v>
      </c>
      <c r="BP1" s="490" t="s">
        <v>68</v>
      </c>
      <c r="BQ1" s="492" t="s">
        <v>69</v>
      </c>
      <c r="BR1" s="499">
        <v>2026</v>
      </c>
      <c r="BS1" s="499"/>
      <c r="BT1" s="499"/>
      <c r="BU1" s="486" t="s">
        <v>83</v>
      </c>
      <c r="BV1" s="486"/>
      <c r="BW1" s="486"/>
      <c r="BX1" s="486" t="s">
        <v>84</v>
      </c>
      <c r="BY1" s="486"/>
      <c r="BZ1" s="486"/>
      <c r="CA1" s="486" t="s">
        <v>85</v>
      </c>
      <c r="CB1" s="486"/>
      <c r="CC1" s="486"/>
      <c r="CD1" s="487" t="s">
        <v>86</v>
      </c>
      <c r="CE1" s="487"/>
      <c r="CF1" s="487"/>
      <c r="CG1" s="488" t="s">
        <v>87</v>
      </c>
      <c r="CH1" s="488"/>
      <c r="CI1" s="488"/>
      <c r="CJ1" s="487" t="s">
        <v>88</v>
      </c>
      <c r="CK1" s="487"/>
      <c r="CL1" s="487"/>
      <c r="CM1" s="489" t="s">
        <v>89</v>
      </c>
      <c r="CN1" s="489"/>
      <c r="CO1" s="489"/>
      <c r="CP1" s="487" t="s">
        <v>90</v>
      </c>
      <c r="CQ1" s="487"/>
      <c r="CR1" s="487"/>
      <c r="CS1" s="489" t="s">
        <v>91</v>
      </c>
      <c r="CT1" s="489"/>
      <c r="CU1" s="489"/>
      <c r="CV1" s="487" t="s">
        <v>92</v>
      </c>
      <c r="CW1" s="487"/>
      <c r="CX1" s="487"/>
      <c r="CY1" s="489" t="s">
        <v>93</v>
      </c>
      <c r="CZ1" s="489"/>
      <c r="DA1" s="489"/>
      <c r="DB1" s="487" t="s">
        <v>94</v>
      </c>
      <c r="DC1" s="487"/>
      <c r="DD1" s="487"/>
      <c r="DE1" s="502" t="s">
        <v>33</v>
      </c>
      <c r="DF1" s="502"/>
      <c r="DG1" s="502"/>
      <c r="DH1" s="502" t="s">
        <v>34</v>
      </c>
      <c r="DI1" s="502"/>
      <c r="DJ1" s="502"/>
      <c r="DK1" s="502" t="s">
        <v>35</v>
      </c>
      <c r="DL1" s="502"/>
      <c r="DM1" s="502"/>
      <c r="DN1" s="502" t="s">
        <v>36</v>
      </c>
      <c r="DO1" s="502"/>
      <c r="DP1" s="502"/>
      <c r="DQ1" s="483" t="s">
        <v>82</v>
      </c>
      <c r="DR1" s="483"/>
      <c r="DS1" s="483"/>
      <c r="DT1" s="39"/>
    </row>
    <row r="2" spans="1:124" ht="15">
      <c r="A2" s="491"/>
      <c r="B2" s="491"/>
      <c r="C2" s="493"/>
      <c r="D2" s="332" t="s">
        <v>95</v>
      </c>
      <c r="E2" s="332" t="s">
        <v>96</v>
      </c>
      <c r="F2" s="332" t="s">
        <v>97</v>
      </c>
      <c r="G2" s="333" t="s">
        <v>95</v>
      </c>
      <c r="H2" s="333" t="s">
        <v>96</v>
      </c>
      <c r="I2" s="333" t="s">
        <v>97</v>
      </c>
      <c r="J2" s="333" t="s">
        <v>95</v>
      </c>
      <c r="K2" s="333" t="s">
        <v>96</v>
      </c>
      <c r="L2" s="333" t="s">
        <v>97</v>
      </c>
      <c r="M2" s="333" t="s">
        <v>95</v>
      </c>
      <c r="N2" s="333" t="s">
        <v>96</v>
      </c>
      <c r="O2" s="333" t="s">
        <v>97</v>
      </c>
      <c r="P2" s="333" t="s">
        <v>95</v>
      </c>
      <c r="Q2" s="333" t="s">
        <v>96</v>
      </c>
      <c r="R2" s="333" t="s">
        <v>97</v>
      </c>
      <c r="S2" s="333" t="s">
        <v>95</v>
      </c>
      <c r="T2" s="333" t="s">
        <v>96</v>
      </c>
      <c r="U2" s="333" t="s">
        <v>97</v>
      </c>
      <c r="V2" s="333" t="s">
        <v>95</v>
      </c>
      <c r="W2" s="333" t="s">
        <v>96</v>
      </c>
      <c r="X2" s="333" t="s">
        <v>97</v>
      </c>
      <c r="Y2" s="333" t="s">
        <v>95</v>
      </c>
      <c r="Z2" s="333" t="s">
        <v>96</v>
      </c>
      <c r="AA2" s="333" t="s">
        <v>97</v>
      </c>
      <c r="AB2" s="333" t="s">
        <v>95</v>
      </c>
      <c r="AC2" s="333" t="s">
        <v>96</v>
      </c>
      <c r="AD2" s="333" t="s">
        <v>97</v>
      </c>
      <c r="AE2" s="333" t="s">
        <v>95</v>
      </c>
      <c r="AF2" s="333" t="s">
        <v>96</v>
      </c>
      <c r="AG2" s="333" t="s">
        <v>97</v>
      </c>
      <c r="AH2" s="333" t="s">
        <v>95</v>
      </c>
      <c r="AI2" s="333" t="s">
        <v>96</v>
      </c>
      <c r="AJ2" s="333" t="s">
        <v>97</v>
      </c>
      <c r="AK2" s="333" t="s">
        <v>95</v>
      </c>
      <c r="AL2" s="333" t="s">
        <v>96</v>
      </c>
      <c r="AM2" s="333" t="s">
        <v>97</v>
      </c>
      <c r="AN2" s="333" t="s">
        <v>95</v>
      </c>
      <c r="AO2" s="333" t="s">
        <v>96</v>
      </c>
      <c r="AP2" s="333" t="s">
        <v>97</v>
      </c>
      <c r="AQ2" s="333" t="s">
        <v>95</v>
      </c>
      <c r="AR2" s="333" t="s">
        <v>96</v>
      </c>
      <c r="AS2" s="333" t="s">
        <v>97</v>
      </c>
      <c r="AT2" s="333" t="s">
        <v>95</v>
      </c>
      <c r="AU2" s="333" t="s">
        <v>96</v>
      </c>
      <c r="AV2" s="333" t="s">
        <v>97</v>
      </c>
      <c r="AW2" s="333" t="s">
        <v>95</v>
      </c>
      <c r="AX2" s="333" t="s">
        <v>96</v>
      </c>
      <c r="AY2" s="333" t="s">
        <v>97</v>
      </c>
      <c r="AZ2" s="333" t="s">
        <v>95</v>
      </c>
      <c r="BA2" s="333" t="s">
        <v>96</v>
      </c>
      <c r="BB2" s="333" t="s">
        <v>97</v>
      </c>
      <c r="BC2" s="333" t="s">
        <v>95</v>
      </c>
      <c r="BD2" s="333" t="s">
        <v>96</v>
      </c>
      <c r="BE2" s="333" t="s">
        <v>97</v>
      </c>
      <c r="BF2" s="245" t="s">
        <v>98</v>
      </c>
      <c r="BG2" s="39"/>
      <c r="BO2" s="491"/>
      <c r="BP2" s="491"/>
      <c r="BQ2" s="493"/>
      <c r="BR2" s="332" t="s">
        <v>95</v>
      </c>
      <c r="BS2" s="332" t="s">
        <v>96</v>
      </c>
      <c r="BT2" s="332" t="s">
        <v>97</v>
      </c>
      <c r="BU2" s="333" t="s">
        <v>95</v>
      </c>
      <c r="BV2" s="333" t="s">
        <v>96</v>
      </c>
      <c r="BW2" s="333" t="s">
        <v>97</v>
      </c>
      <c r="BX2" s="333" t="s">
        <v>95</v>
      </c>
      <c r="BY2" s="333" t="s">
        <v>96</v>
      </c>
      <c r="BZ2" s="333" t="s">
        <v>97</v>
      </c>
      <c r="CA2" s="333" t="s">
        <v>95</v>
      </c>
      <c r="CB2" s="333" t="s">
        <v>96</v>
      </c>
      <c r="CC2" s="333" t="s">
        <v>97</v>
      </c>
      <c r="CD2" s="333" t="s">
        <v>95</v>
      </c>
      <c r="CE2" s="333" t="s">
        <v>96</v>
      </c>
      <c r="CF2" s="333" t="s">
        <v>97</v>
      </c>
      <c r="CG2" s="333" t="s">
        <v>95</v>
      </c>
      <c r="CH2" s="333" t="s">
        <v>96</v>
      </c>
      <c r="CI2" s="333" t="s">
        <v>97</v>
      </c>
      <c r="CJ2" s="333" t="s">
        <v>95</v>
      </c>
      <c r="CK2" s="333" t="s">
        <v>96</v>
      </c>
      <c r="CL2" s="333" t="s">
        <v>97</v>
      </c>
      <c r="CM2" s="333" t="s">
        <v>95</v>
      </c>
      <c r="CN2" s="333" t="s">
        <v>96</v>
      </c>
      <c r="CO2" s="333" t="s">
        <v>97</v>
      </c>
      <c r="CP2" s="333" t="s">
        <v>95</v>
      </c>
      <c r="CQ2" s="333" t="s">
        <v>96</v>
      </c>
      <c r="CR2" s="333" t="s">
        <v>97</v>
      </c>
      <c r="CS2" s="333" t="s">
        <v>95</v>
      </c>
      <c r="CT2" s="333" t="s">
        <v>96</v>
      </c>
      <c r="CU2" s="333" t="s">
        <v>97</v>
      </c>
      <c r="CV2" s="333" t="s">
        <v>95</v>
      </c>
      <c r="CW2" s="333" t="s">
        <v>96</v>
      </c>
      <c r="CX2" s="333" t="s">
        <v>97</v>
      </c>
      <c r="CY2" s="333" t="s">
        <v>95</v>
      </c>
      <c r="CZ2" s="333" t="s">
        <v>96</v>
      </c>
      <c r="DA2" s="333" t="s">
        <v>97</v>
      </c>
      <c r="DB2" s="333" t="s">
        <v>95</v>
      </c>
      <c r="DC2" s="333" t="s">
        <v>96</v>
      </c>
      <c r="DD2" s="333" t="s">
        <v>97</v>
      </c>
      <c r="DE2" s="333" t="s">
        <v>95</v>
      </c>
      <c r="DF2" s="333" t="s">
        <v>96</v>
      </c>
      <c r="DG2" s="333" t="s">
        <v>97</v>
      </c>
      <c r="DH2" s="333" t="s">
        <v>95</v>
      </c>
      <c r="DI2" s="333" t="s">
        <v>96</v>
      </c>
      <c r="DJ2" s="333" t="s">
        <v>97</v>
      </c>
      <c r="DK2" s="333" t="s">
        <v>95</v>
      </c>
      <c r="DL2" s="333" t="s">
        <v>96</v>
      </c>
      <c r="DM2" s="333" t="s">
        <v>97</v>
      </c>
      <c r="DN2" s="333" t="s">
        <v>95</v>
      </c>
      <c r="DO2" s="333" t="s">
        <v>96</v>
      </c>
      <c r="DP2" s="333" t="s">
        <v>97</v>
      </c>
      <c r="DQ2" s="333" t="s">
        <v>95</v>
      </c>
      <c r="DR2" s="333" t="s">
        <v>96</v>
      </c>
      <c r="DS2" s="333" t="s">
        <v>97</v>
      </c>
      <c r="DT2" s="245" t="s">
        <v>98</v>
      </c>
    </row>
    <row r="3" spans="1:124" ht="15">
      <c r="A3" s="484" t="s">
        <v>99</v>
      </c>
      <c r="B3" s="484" t="s">
        <v>38</v>
      </c>
      <c r="C3" s="354" t="s">
        <v>44</v>
      </c>
      <c r="D3" s="334">
        <f>D9</f>
        <v>89000000000</v>
      </c>
      <c r="E3" s="334">
        <f>E9</f>
        <v>74546000000</v>
      </c>
      <c r="F3" s="335">
        <f>IFERROR(E3/D3,0%)</f>
        <v>0.83759550561797758</v>
      </c>
      <c r="G3" s="334">
        <f>G9</f>
        <v>7000000000</v>
      </c>
      <c r="H3" s="334">
        <f>H9</f>
        <v>4373000000</v>
      </c>
      <c r="I3" s="335">
        <f>IFERROR(H3/G3,0%)</f>
        <v>0.62471428571428567</v>
      </c>
      <c r="J3" s="334">
        <f>J9</f>
        <v>3500000000</v>
      </c>
      <c r="K3" s="334">
        <f>K9</f>
        <v>5543000000</v>
      </c>
      <c r="L3" s="335">
        <f>IFERROR(K3/J3,0%)</f>
        <v>1.5837142857142856</v>
      </c>
      <c r="M3" s="334">
        <f>M9</f>
        <v>7000000000</v>
      </c>
      <c r="N3" s="334">
        <f>N9</f>
        <v>6288000000</v>
      </c>
      <c r="O3" s="335">
        <f>IFERROR(N3/M3,0%)</f>
        <v>0.89828571428571424</v>
      </c>
      <c r="P3" s="334">
        <v>8003000000</v>
      </c>
      <c r="Q3" s="334">
        <f>Q9</f>
        <v>6252000000</v>
      </c>
      <c r="R3" s="335">
        <f>IFERROR(Q3/P3,0%)</f>
        <v>0.781207047357241</v>
      </c>
      <c r="S3" s="334">
        <f>S9</f>
        <v>8121000000</v>
      </c>
      <c r="T3" s="334">
        <f>T9</f>
        <v>5873000000</v>
      </c>
      <c r="U3" s="336">
        <f>IFERROR(T3/S3,0%)</f>
        <v>0.72318679965521493</v>
      </c>
      <c r="V3" s="334">
        <f>V9</f>
        <v>8070000000</v>
      </c>
      <c r="W3" s="334">
        <f>W9</f>
        <v>6002000000</v>
      </c>
      <c r="X3" s="335">
        <f>IFERROR(W3/V3,0%)</f>
        <v>0.74374225526641879</v>
      </c>
      <c r="Y3" s="334">
        <f>Y9</f>
        <v>8746000000</v>
      </c>
      <c r="Z3" s="334">
        <f>Z9</f>
        <v>6642000000</v>
      </c>
      <c r="AA3" s="336">
        <f>IFERROR(Z3/V3,0%)</f>
        <v>0.8230483271375465</v>
      </c>
      <c r="AB3" s="334">
        <f>AB9</f>
        <v>7955000000</v>
      </c>
      <c r="AC3" s="334">
        <f>AC9</f>
        <v>6371000000</v>
      </c>
      <c r="AD3" s="336">
        <f>IFERROR(AC3/Y3,0%)</f>
        <v>0.72844729018980103</v>
      </c>
      <c r="AE3" s="334">
        <f>AE9</f>
        <v>7357000000</v>
      </c>
      <c r="AF3" s="334">
        <f>AF9</f>
        <v>6100000000</v>
      </c>
      <c r="AG3" s="336">
        <f>IFERROR(AF3/AB3,0%)</f>
        <v>0.76681332495285981</v>
      </c>
      <c r="AH3" s="334">
        <f>AH9</f>
        <v>7655000000</v>
      </c>
      <c r="AI3" s="334">
        <f>AI9</f>
        <v>7069000000</v>
      </c>
      <c r="AJ3" s="336">
        <f>IFERROR(AI3/AE3,0%)</f>
        <v>0.96085360880793802</v>
      </c>
      <c r="AK3" s="334">
        <f>AK9</f>
        <v>7952000000</v>
      </c>
      <c r="AL3" s="334">
        <f>AL9</f>
        <v>6294000000</v>
      </c>
      <c r="AM3" s="336">
        <f>IFERROR(AL3/AH3,0%)</f>
        <v>0.82220770738079685</v>
      </c>
      <c r="AN3" s="334">
        <f>AN9</f>
        <v>7644000000</v>
      </c>
      <c r="AO3" s="334">
        <f>AO9</f>
        <v>7739000000</v>
      </c>
      <c r="AP3" s="336">
        <f>IFERROR(AO3/AK3,0%)</f>
        <v>0.9732142857142857</v>
      </c>
      <c r="AQ3" s="334">
        <f t="shared" ref="AQ3:AQ7" si="0">M3+J3+G3</f>
        <v>17500000000</v>
      </c>
      <c r="AR3" s="334">
        <f t="shared" ref="AR3:AR7" si="1">N3+K3+H3</f>
        <v>16204000000</v>
      </c>
      <c r="AS3" s="335">
        <f>IFERROR(AR3/AQ3,0%)</f>
        <v>0.92594285714285718</v>
      </c>
      <c r="AT3" s="334">
        <f>P3+S3+V3</f>
        <v>24194000000</v>
      </c>
      <c r="AU3" s="334">
        <f>Q3+T3+W3</f>
        <v>18127000000</v>
      </c>
      <c r="AV3" s="335">
        <f>IFERROR(AU3/AT3,0%)</f>
        <v>0.74923534760684463</v>
      </c>
      <c r="AW3" s="337">
        <f>Y3+AB3+AE3</f>
        <v>24058000000</v>
      </c>
      <c r="AX3" s="334">
        <f>T3+W3+Z3</f>
        <v>18517000000</v>
      </c>
      <c r="AY3" s="335">
        <f>IFERROR(AX3/AW3,0%)</f>
        <v>0.7696816027932496</v>
      </c>
      <c r="AZ3" s="337">
        <f>AH3+AK3+AN3</f>
        <v>23251000000</v>
      </c>
      <c r="BA3" s="337">
        <f>AI3+AL3+AO3</f>
        <v>21102000000</v>
      </c>
      <c r="BB3" s="335">
        <f>IFERROR(BA3/AZ3,0%)</f>
        <v>0.90757386779063265</v>
      </c>
      <c r="BC3" s="337">
        <f>AW3+AT3+AQ3+AH3+AK3</f>
        <v>81359000000</v>
      </c>
      <c r="BD3" s="337">
        <f>AX3+AU3+AR3+AI3+AL3</f>
        <v>66211000000</v>
      </c>
      <c r="BE3" s="335">
        <f>IFERROR(BD3/BC3,0%)</f>
        <v>0.81381285414029181</v>
      </c>
      <c r="BF3" s="244">
        <f>(BD3/11*1.1+BD3)/D3</f>
        <v>0.818338202247191</v>
      </c>
      <c r="BG3" s="39"/>
      <c r="BH3" s="271" t="s">
        <v>7</v>
      </c>
      <c r="BI3" s="271" t="s">
        <v>5</v>
      </c>
      <c r="BJ3" s="271" t="s">
        <v>8</v>
      </c>
      <c r="BK3" s="271" t="s">
        <v>9</v>
      </c>
      <c r="BL3" s="271" t="s">
        <v>6</v>
      </c>
      <c r="BM3" s="271" t="s">
        <v>100</v>
      </c>
      <c r="BO3" s="484" t="s">
        <v>99</v>
      </c>
      <c r="BP3" s="484" t="s">
        <v>38</v>
      </c>
      <c r="BQ3" s="354" t="s">
        <v>44</v>
      </c>
      <c r="BR3" s="334">
        <f>BR9</f>
        <v>87684000000</v>
      </c>
      <c r="BS3" s="334">
        <f>BS9</f>
        <v>2975000000</v>
      </c>
      <c r="BT3" s="335">
        <f>IFERROR(BS3/BR3,0%)</f>
        <v>3.3928652889922903E-2</v>
      </c>
      <c r="BU3" s="334">
        <f>BU9</f>
        <v>5684000000</v>
      </c>
      <c r="BV3" s="334">
        <f>BV9</f>
        <v>2975000000</v>
      </c>
      <c r="BW3" s="335">
        <f>IFERROR(BV3/BU3,0%)</f>
        <v>0.52339901477832518</v>
      </c>
      <c r="BX3" s="334">
        <f>BX9</f>
        <v>3500000000</v>
      </c>
      <c r="BY3" s="334">
        <f>BY9</f>
        <v>0</v>
      </c>
      <c r="BZ3" s="335">
        <f>IFERROR(BY3/BX3,0%)</f>
        <v>0</v>
      </c>
      <c r="CA3" s="334">
        <f>CA9</f>
        <v>7000000000</v>
      </c>
      <c r="CB3" s="334">
        <f>CB9</f>
        <v>0</v>
      </c>
      <c r="CC3" s="335">
        <f>IFERROR(CB3/CA3,0%)</f>
        <v>0</v>
      </c>
      <c r="CD3" s="334">
        <v>8003000000</v>
      </c>
      <c r="CE3" s="334">
        <f>CE9</f>
        <v>0</v>
      </c>
      <c r="CF3" s="335">
        <f>IFERROR(CE3/CD3,0%)</f>
        <v>0</v>
      </c>
      <c r="CG3" s="334">
        <f>CG9</f>
        <v>8121000000</v>
      </c>
      <c r="CH3" s="334">
        <f>CH9</f>
        <v>0</v>
      </c>
      <c r="CI3" s="336">
        <f>IFERROR(CH3/CG3,0%)</f>
        <v>0</v>
      </c>
      <c r="CJ3" s="334">
        <f>CJ9</f>
        <v>8070000000</v>
      </c>
      <c r="CK3" s="334">
        <f>CK9</f>
        <v>0</v>
      </c>
      <c r="CL3" s="335">
        <f>IFERROR(CK3/CJ3,0%)</f>
        <v>0</v>
      </c>
      <c r="CM3" s="334">
        <f>CM9</f>
        <v>8746000000</v>
      </c>
      <c r="CN3" s="334">
        <f>CN9</f>
        <v>0</v>
      </c>
      <c r="CO3" s="336">
        <f>IFERROR(CN3/CJ3,0%)</f>
        <v>0</v>
      </c>
      <c r="CP3" s="334">
        <f>CP9</f>
        <v>7955000000</v>
      </c>
      <c r="CQ3" s="334">
        <f>CQ9</f>
        <v>0</v>
      </c>
      <c r="CR3" s="336">
        <f>IFERROR(CQ3/CM3,0%)</f>
        <v>0</v>
      </c>
      <c r="CS3" s="334">
        <f>CS9</f>
        <v>7357000000</v>
      </c>
      <c r="CT3" s="334">
        <f>CT9</f>
        <v>0</v>
      </c>
      <c r="CU3" s="336">
        <f>IFERROR(CT3/CP3,0%)</f>
        <v>0</v>
      </c>
      <c r="CV3" s="334">
        <f>CV9</f>
        <v>7655000000</v>
      </c>
      <c r="CW3" s="334">
        <f>CW9</f>
        <v>0</v>
      </c>
      <c r="CX3" s="336">
        <f>IFERROR(CW3/CS3,0%)</f>
        <v>0</v>
      </c>
      <c r="CY3" s="334">
        <f>CY9</f>
        <v>7952000000</v>
      </c>
      <c r="CZ3" s="334">
        <f>CZ9</f>
        <v>0</v>
      </c>
      <c r="DA3" s="336">
        <f>IFERROR(CZ3/CV3,0%)</f>
        <v>0</v>
      </c>
      <c r="DB3" s="334">
        <f>DB9</f>
        <v>7644000000</v>
      </c>
      <c r="DC3" s="334">
        <f>DC9</f>
        <v>0</v>
      </c>
      <c r="DD3" s="336">
        <f>IFERROR(DC3/CY3,0%)</f>
        <v>0</v>
      </c>
      <c r="DE3" s="334">
        <f t="shared" ref="DE3:DE7" si="2">CA3+BX3+BU3</f>
        <v>16184000000</v>
      </c>
      <c r="DF3" s="334">
        <f t="shared" ref="DF3:DF7" si="3">CB3+BY3+BV3</f>
        <v>2975000000</v>
      </c>
      <c r="DG3" s="335">
        <f>IFERROR(DF3/DE3,0%)</f>
        <v>0.18382352941176472</v>
      </c>
      <c r="DH3" s="334">
        <f>CD3+CG3+CJ3</f>
        <v>24194000000</v>
      </c>
      <c r="DI3" s="334">
        <f>CE3+CH3+CK3</f>
        <v>0</v>
      </c>
      <c r="DJ3" s="335">
        <f>IFERROR(DI3/DH3,0%)</f>
        <v>0</v>
      </c>
      <c r="DK3" s="337">
        <f>CM3+CP3+CS3</f>
        <v>24058000000</v>
      </c>
      <c r="DL3" s="334">
        <f>CH3+CK3+CN3</f>
        <v>0</v>
      </c>
      <c r="DM3" s="335">
        <f>IFERROR(DL3/DK3,0%)</f>
        <v>0</v>
      </c>
      <c r="DN3" s="337">
        <f>CV3+CY3+DB3</f>
        <v>23251000000</v>
      </c>
      <c r="DO3" s="337">
        <f>CW3+CZ3+DC3</f>
        <v>0</v>
      </c>
      <c r="DP3" s="335">
        <f>IFERROR(DO3/DN3,0%)</f>
        <v>0</v>
      </c>
      <c r="DQ3" s="337">
        <f>DK3+DH3+DE3+CV3+CY3</f>
        <v>80043000000</v>
      </c>
      <c r="DR3" s="337">
        <f>DL3+DI3+DF3+CW3+CZ3</f>
        <v>2975000000</v>
      </c>
      <c r="DS3" s="335">
        <f>IFERROR(DR3/DQ3,0%)</f>
        <v>3.7167522456679536E-2</v>
      </c>
      <c r="DT3" s="244">
        <f>(DR3/11*1.1+DR3)/BR3</f>
        <v>3.7321518178915193E-2</v>
      </c>
    </row>
    <row r="4" spans="1:124" ht="15">
      <c r="A4" s="484"/>
      <c r="B4" s="484"/>
      <c r="C4" s="354" t="s">
        <v>39</v>
      </c>
      <c r="D4" s="334">
        <f>D10+D15+D20+D25+D30+D35</f>
        <v>49000000000</v>
      </c>
      <c r="E4" s="334">
        <f>E10+E15+E20+E25+E30+E35</f>
        <v>57303792509</v>
      </c>
      <c r="F4" s="335">
        <f t="shared" ref="F4:F38" si="4">IFERROR(E4/D4,0%)</f>
        <v>1.1694651532448979</v>
      </c>
      <c r="G4" s="334">
        <f>G10+G15+G20+G25+G30+G35</f>
        <v>1562000000</v>
      </c>
      <c r="H4" s="334">
        <f>H10+H15+H20+H25+H30+H35</f>
        <v>1177560500</v>
      </c>
      <c r="I4" s="335">
        <f t="shared" ref="I4:I39" si="5">IFERROR(H4/G4,0%)</f>
        <v>0.75387996158770809</v>
      </c>
      <c r="J4" s="334">
        <f>J10+J15+J20+J25+J30+J35</f>
        <v>693000000</v>
      </c>
      <c r="K4" s="334">
        <f>K10+K15+K20+K25+K30+K35</f>
        <v>2502215000</v>
      </c>
      <c r="L4" s="335">
        <f t="shared" ref="L4:L39" si="6">IFERROR(K4/J4,0%)</f>
        <v>3.6106998556998557</v>
      </c>
      <c r="M4" s="334">
        <f>M10+M15+M20+M25+M30+M35</f>
        <v>1873000000</v>
      </c>
      <c r="N4" s="334">
        <f>N10+N15+N20+N25+N30+N35</f>
        <v>3235218700</v>
      </c>
      <c r="O4" s="335">
        <f t="shared" ref="O4:O39" si="7">IFERROR(N4/M4,0%)</f>
        <v>1.7272924185798184</v>
      </c>
      <c r="P4" s="334">
        <v>2172000000</v>
      </c>
      <c r="Q4" s="334">
        <f>Q10+Q15+Q25+Q30+Q35</f>
        <v>5583197950</v>
      </c>
      <c r="R4" s="335">
        <f>IFERROR(Q4/P4,0%)</f>
        <v>2.5705331261510129</v>
      </c>
      <c r="S4" s="334">
        <f>S10+S15+S25+S30+S35+S20</f>
        <v>3549000000</v>
      </c>
      <c r="T4" s="334">
        <f>T10+T15+T25+T30+T35</f>
        <v>7253534981</v>
      </c>
      <c r="U4" s="336">
        <f t="shared" ref="U4:U38" si="8">IFERROR(T4/S4,0%)</f>
        <v>2.0438250157790927</v>
      </c>
      <c r="V4" s="334">
        <f>V10+V15+V25+V30+V35+V20</f>
        <v>6134000000</v>
      </c>
      <c r="W4" s="334">
        <f>W10+W15+W25+W30+W35</f>
        <v>5327532128</v>
      </c>
      <c r="X4" s="335">
        <f t="shared" ref="X4:X38" si="9">IFERROR(W4/V4,0%)</f>
        <v>0.8685249638082817</v>
      </c>
      <c r="Y4" s="334">
        <f>Y10+Y15+Y25+Y30+Y35+Y20</f>
        <v>3216000000</v>
      </c>
      <c r="Z4" s="334">
        <f>Z10+Z15+Z25+Z30+Z35</f>
        <v>4291166300</v>
      </c>
      <c r="AA4" s="336">
        <f>IFERROR(Z4/Y4,0%)</f>
        <v>1.3343178793532338</v>
      </c>
      <c r="AB4" s="334">
        <f>AB10+AB15+AB25+AB30+AB35+AB20</f>
        <v>5155000000</v>
      </c>
      <c r="AC4" s="334">
        <f>AC10+AC15+AC25+AC30+AC35</f>
        <v>6598732620</v>
      </c>
      <c r="AD4" s="336">
        <f t="shared" ref="AD4:AD38" si="10">IFERROR(AC4/AB4,0%)</f>
        <v>1.2800645237633366</v>
      </c>
      <c r="AE4" s="334">
        <f>AE10+AE15+AE25+AE30+AE35</f>
        <v>3301000000</v>
      </c>
      <c r="AF4" s="334">
        <f>AF10+AF15+AF25+AF30+AF35</f>
        <v>3628803985</v>
      </c>
      <c r="AG4" s="336">
        <f t="shared" ref="AG4:AG38" si="11">IFERROR(AF4/AE4,0%)</f>
        <v>1.0993044486519237</v>
      </c>
      <c r="AH4" s="334">
        <f>AH10+AH15+AH25+AH30+AH35</f>
        <v>5494000000</v>
      </c>
      <c r="AI4" s="334">
        <f>AI10+AI15+AI25+AI30+AI35+AI20</f>
        <v>8056401345</v>
      </c>
      <c r="AJ4" s="336">
        <f t="shared" ref="AJ4:AJ38" si="12">IFERROR(AI4/AH4,0%)</f>
        <v>1.4663999535857299</v>
      </c>
      <c r="AK4" s="334">
        <f>AK10+AK15+AK25+AK30+AK35</f>
        <v>7453000000</v>
      </c>
      <c r="AL4" s="334">
        <f>AL10+AL15+AL25+AL30+AL35</f>
        <v>5435761050</v>
      </c>
      <c r="AM4" s="336">
        <f t="shared" ref="AM4:AM38" si="13">IFERROR(AL4/AK4,0%)</f>
        <v>0.72933866228364419</v>
      </c>
      <c r="AN4" s="334">
        <f>AN10+AN15+AN25+AN30+AN35</f>
        <v>8398000000</v>
      </c>
      <c r="AO4" s="334">
        <f>AO10+AO15+AO25+AO30+AO35</f>
        <v>3648028950</v>
      </c>
      <c r="AP4" s="336">
        <f t="shared" ref="AP4:AP38" si="14">IFERROR(AO4/AN4,0%)</f>
        <v>0.43439258752083831</v>
      </c>
      <c r="AQ4" s="334">
        <f t="shared" si="0"/>
        <v>4128000000</v>
      </c>
      <c r="AR4" s="334">
        <f t="shared" si="1"/>
        <v>6914994200</v>
      </c>
      <c r="AS4" s="335">
        <f t="shared" ref="AS4:AS39" si="15">IFERROR(AR4/AQ4,0%)</f>
        <v>1.6751439437984497</v>
      </c>
      <c r="AT4" s="334">
        <f t="shared" ref="AT4:AU8" si="16">P4+S4+V4</f>
        <v>11855000000</v>
      </c>
      <c r="AU4" s="334">
        <f t="shared" si="16"/>
        <v>18164265059</v>
      </c>
      <c r="AV4" s="335">
        <f t="shared" ref="AV4:AV39" si="17">IFERROR(AU4/AT4,0%)</f>
        <v>1.5322028729649937</v>
      </c>
      <c r="AW4" s="334">
        <f t="shared" ref="AW4:AW38" si="18">Y4+AB4+AE4</f>
        <v>11672000000</v>
      </c>
      <c r="AX4" s="334">
        <f t="shared" ref="AX4:AX7" si="19">T4+W4+Z4</f>
        <v>16872233409</v>
      </c>
      <c r="AY4" s="335">
        <f t="shared" ref="AY4:AY39" si="20">IFERROR(AX4/AW4,0%)</f>
        <v>1.4455306210589445</v>
      </c>
      <c r="AZ4" s="334">
        <f t="shared" ref="AZ4:AZ39" si="21">AH4+AK4+AN4</f>
        <v>21345000000</v>
      </c>
      <c r="BA4" s="334">
        <f t="shared" ref="BA4:BA39" si="22">AI4+AL4+AO4</f>
        <v>17140191345</v>
      </c>
      <c r="BB4" s="335">
        <f t="shared" ref="BB4:BB39" si="23">IFERROR(BA4/AZ4,0%)</f>
        <v>0.80300732466619817</v>
      </c>
      <c r="BC4" s="334">
        <f t="shared" ref="BC4:BD8" si="24">AW4+AT4+AQ4+AH4+AK4</f>
        <v>40602000000</v>
      </c>
      <c r="BD4" s="334">
        <f t="shared" si="24"/>
        <v>55443655063</v>
      </c>
      <c r="BE4" s="335">
        <f t="shared" ref="BE4:BE39" si="25">IFERROR(BD4/BC4,0%)</f>
        <v>1.3655399995813013</v>
      </c>
      <c r="BF4" s="244">
        <f>(BD4/11*1.1+BD4)/D4</f>
        <v>1.2446534810061225</v>
      </c>
      <c r="BG4" s="39" t="s">
        <v>101</v>
      </c>
      <c r="BH4" s="45">
        <f>(E14-E12)/10^9</f>
        <v>280.571884141</v>
      </c>
      <c r="BI4" s="45">
        <f>(E19-E17)/10^9</f>
        <v>101.53486758299999</v>
      </c>
      <c r="BJ4" s="45">
        <f>E24/10^9</f>
        <v>129.691095598</v>
      </c>
      <c r="BK4" s="45">
        <f>E29/10^9</f>
        <v>4.0217683580000001</v>
      </c>
      <c r="BL4" s="45">
        <f>E34/10^9</f>
        <v>26.105057136999999</v>
      </c>
      <c r="BM4" s="45">
        <f>E39/10^9</f>
        <v>14.58</v>
      </c>
      <c r="BO4" s="484"/>
      <c r="BP4" s="484"/>
      <c r="BQ4" s="354" t="s">
        <v>39</v>
      </c>
      <c r="BR4" s="334">
        <f>BR10+BR15+BR20+BR25+BR30+BR35</f>
        <v>49259000000</v>
      </c>
      <c r="BS4" s="334">
        <f>BS10+BS15+BS20+BS25+BS30+BS35</f>
        <v>775000000</v>
      </c>
      <c r="BT4" s="335">
        <f t="shared" ref="BT4:BT5" si="26">IFERROR(BS4/BR4,0%)</f>
        <v>1.5733165512901194E-2</v>
      </c>
      <c r="BU4" s="334">
        <f>BU10+BU15+BU20+BU25+BU30+BU35</f>
        <v>1821000000</v>
      </c>
      <c r="BV4" s="334">
        <f>BV10+BV15+BV20+BV25+BV30+BV35</f>
        <v>775000000</v>
      </c>
      <c r="BW4" s="335">
        <f t="shared" ref="BW4:BW7" si="27">IFERROR(BV4/BU4,0%)</f>
        <v>0.42559033498077981</v>
      </c>
      <c r="BX4" s="334">
        <f>BX10+BX15+BX20+BX25+BX30+BX35</f>
        <v>693000000</v>
      </c>
      <c r="BY4" s="334">
        <f>BY10+BY15+BY20+BY25+BY30+BY35</f>
        <v>0</v>
      </c>
      <c r="BZ4" s="335">
        <f t="shared" ref="BZ4:BZ34" si="28">IFERROR(BY4/BX4,0%)</f>
        <v>0</v>
      </c>
      <c r="CA4" s="334">
        <f>CA10+CA15+CA20+CA25+CA30+CA35</f>
        <v>1873000000</v>
      </c>
      <c r="CB4" s="334">
        <f>CB10+CB15+CB20+CB25+CB30+CB35</f>
        <v>0</v>
      </c>
      <c r="CC4" s="335">
        <f t="shared" ref="CC4:CC34" si="29">IFERROR(CB4/CA4,0%)</f>
        <v>0</v>
      </c>
      <c r="CD4" s="334">
        <v>2172000000</v>
      </c>
      <c r="CE4" s="334">
        <f>CE10+CE15+CE25+CE30+CE35</f>
        <v>0</v>
      </c>
      <c r="CF4" s="335">
        <f>IFERROR(CE4/CD4,0%)</f>
        <v>0</v>
      </c>
      <c r="CG4" s="334">
        <f>CG10+CG15+CG25+CG30+CG35+CG20</f>
        <v>3549000000</v>
      </c>
      <c r="CH4" s="334">
        <f>CH10+CH15+CH25+CH30+CH35</f>
        <v>0</v>
      </c>
      <c r="CI4" s="336">
        <f t="shared" ref="CI4:CI12" si="30">IFERROR(CH4/CG4,0%)</f>
        <v>0</v>
      </c>
      <c r="CJ4" s="334">
        <f>CJ10+CJ15+CJ25+CJ30+CJ35+CJ20</f>
        <v>6134000000</v>
      </c>
      <c r="CK4" s="334">
        <f>CK10+CK15+CK25+CK30+CK35</f>
        <v>0</v>
      </c>
      <c r="CL4" s="335">
        <f t="shared" ref="CL4:CL34" si="31">IFERROR(CK4/CJ4,0%)</f>
        <v>0</v>
      </c>
      <c r="CM4" s="334">
        <f>CM10+CM15+CM25+CM30+CM35+CM20</f>
        <v>3216000000</v>
      </c>
      <c r="CN4" s="334">
        <f>CN10+CN15+CN25+CN30+CN35</f>
        <v>0</v>
      </c>
      <c r="CO4" s="336">
        <f>IFERROR(CN4/CM4,0%)</f>
        <v>0</v>
      </c>
      <c r="CP4" s="334">
        <f>CP10+CP15+CP25+CP30+CP35+CP20</f>
        <v>5155000000</v>
      </c>
      <c r="CQ4" s="334">
        <f>CQ10+CQ15+CQ25+CQ30+CQ35</f>
        <v>0</v>
      </c>
      <c r="CR4" s="336">
        <f t="shared" ref="CR4:CR18" si="32">IFERROR(CQ4/CP4,0%)</f>
        <v>0</v>
      </c>
      <c r="CS4" s="334">
        <f>CS10+CS15+CS25+CS30+CS35</f>
        <v>3301000000</v>
      </c>
      <c r="CT4" s="334">
        <f>CT10+CT15+CT25+CT30+CT35</f>
        <v>0</v>
      </c>
      <c r="CU4" s="336">
        <f t="shared" ref="CU4:CU34" si="33">IFERROR(CT4/CS4,0%)</f>
        <v>0</v>
      </c>
      <c r="CV4" s="334">
        <f>CV10+CV15+CV25+CV30+CV35</f>
        <v>5494000000</v>
      </c>
      <c r="CW4" s="334">
        <f>CW10+CW15+CW25+CW30+CW35+CW20</f>
        <v>0</v>
      </c>
      <c r="CX4" s="336">
        <f t="shared" ref="CX4:CX34" si="34">IFERROR(CW4/CV4,0%)</f>
        <v>0</v>
      </c>
      <c r="CY4" s="334">
        <f>CY10+CY15+CY25+CY30+CY35</f>
        <v>7453000000</v>
      </c>
      <c r="CZ4" s="334">
        <f>CZ10+CZ15+CZ25+CZ30+CZ35</f>
        <v>0</v>
      </c>
      <c r="DA4" s="336">
        <f t="shared" ref="DA4:DA34" si="35">IFERROR(CZ4/CY4,0%)</f>
        <v>0</v>
      </c>
      <c r="DB4" s="334">
        <f>DB10+DB15+DB25+DB30+DB35</f>
        <v>8398000000</v>
      </c>
      <c r="DC4" s="334">
        <f>DC10+DC15+DC25+DC30+DC35</f>
        <v>0</v>
      </c>
      <c r="DD4" s="336">
        <f t="shared" ref="DD4:DD34" si="36">IFERROR(DC4/DB4,0%)</f>
        <v>0</v>
      </c>
      <c r="DE4" s="334">
        <f t="shared" si="2"/>
        <v>4387000000</v>
      </c>
      <c r="DF4" s="334">
        <f t="shared" si="3"/>
        <v>775000000</v>
      </c>
      <c r="DG4" s="335">
        <f t="shared" ref="DG4:DG34" si="37">IFERROR(DF4/DE4,0%)</f>
        <v>0.17665830863916115</v>
      </c>
      <c r="DH4" s="334">
        <f t="shared" ref="DH4:DH8" si="38">CD4+CG4+CJ4</f>
        <v>11855000000</v>
      </c>
      <c r="DI4" s="334">
        <f t="shared" ref="DI4:DI8" si="39">CE4+CH4+CK4</f>
        <v>0</v>
      </c>
      <c r="DJ4" s="335">
        <f t="shared" ref="DJ4:DJ34" si="40">IFERROR(DI4/DH4,0%)</f>
        <v>0</v>
      </c>
      <c r="DK4" s="334">
        <f t="shared" ref="DK4:DK7" si="41">CM4+CP4+CS4</f>
        <v>11672000000</v>
      </c>
      <c r="DL4" s="334">
        <f t="shared" ref="DL4:DL7" si="42">CH4+CK4+CN4</f>
        <v>0</v>
      </c>
      <c r="DM4" s="335">
        <f t="shared" ref="DM4:DM34" si="43">IFERROR(DL4/DK4,0%)</f>
        <v>0</v>
      </c>
      <c r="DN4" s="334">
        <f t="shared" ref="DN4:DN34" si="44">CV4+CY4+DB4</f>
        <v>21345000000</v>
      </c>
      <c r="DO4" s="334">
        <f t="shared" ref="DO4:DO34" si="45">CW4+CZ4+DC4</f>
        <v>0</v>
      </c>
      <c r="DP4" s="335">
        <f t="shared" ref="DP4:DP34" si="46">IFERROR(DO4/DN4,0%)</f>
        <v>0</v>
      </c>
      <c r="DQ4" s="334">
        <f t="shared" ref="DQ4:DQ8" si="47">DK4+DH4+DE4+CV4+CY4</f>
        <v>40861000000</v>
      </c>
      <c r="DR4" s="334">
        <f t="shared" ref="DR4:DR34" si="48">DL4+DI4+DF4+CW4+CZ4</f>
        <v>775000000</v>
      </c>
      <c r="DS4" s="335">
        <f t="shared" ref="DS4:DS34" si="49">IFERROR(DR4/DQ4,0%)</f>
        <v>1.8966740902082672E-2</v>
      </c>
      <c r="DT4" s="244">
        <f>(DR4/11*1.1+DR4)/BR4</f>
        <v>1.7306482064191317E-2</v>
      </c>
    </row>
    <row r="5" spans="1:124" ht="15">
      <c r="A5" s="484"/>
      <c r="B5" s="485"/>
      <c r="C5" s="354" t="s">
        <v>40</v>
      </c>
      <c r="D5" s="334">
        <f t="shared" ref="D5:E7" si="50">D11+D16+D21+D26+D31+D36</f>
        <v>246150000000</v>
      </c>
      <c r="E5" s="334">
        <f t="shared" si="50"/>
        <v>186794384014</v>
      </c>
      <c r="F5" s="335">
        <f t="shared" si="4"/>
        <v>0.75886404230753601</v>
      </c>
      <c r="G5" s="334">
        <f>G11+G21+G26+G31+G36+G16</f>
        <v>11384000000</v>
      </c>
      <c r="H5" s="334">
        <f>H11+H21+H26+H31+H36+H16</f>
        <v>12314212292</v>
      </c>
      <c r="I5" s="335">
        <f t="shared" si="5"/>
        <v>1.0817122533380183</v>
      </c>
      <c r="J5" s="334">
        <f>J11+J21+J26+J31+J36+J16</f>
        <v>12754000000</v>
      </c>
      <c r="K5" s="334">
        <f>K11+K21+K26+K31+K36+K16</f>
        <v>11131848754</v>
      </c>
      <c r="L5" s="335">
        <f t="shared" si="6"/>
        <v>0.87281235330092521</v>
      </c>
      <c r="M5" s="334">
        <f>M11+M21+M26+M31+M36+M16</f>
        <v>14159000000</v>
      </c>
      <c r="N5" s="334">
        <f>N11+N21+N26+N31+N36+N16</f>
        <v>19654064911</v>
      </c>
      <c r="O5" s="335">
        <f t="shared" si="7"/>
        <v>1.3880969638392542</v>
      </c>
      <c r="P5" s="334">
        <v>17200000000</v>
      </c>
      <c r="Q5" s="334">
        <f>Q11+Q16+Q21+Q26+Q31+Q36</f>
        <v>16716176923</v>
      </c>
      <c r="R5" s="335">
        <f t="shared" ref="R5:R38" si="51">IFERROR(Q5/P5,0%)</f>
        <v>0.97187075133720935</v>
      </c>
      <c r="S5" s="334">
        <f>S11+S16+S26+S31+S36+S21</f>
        <v>17384000000</v>
      </c>
      <c r="T5" s="334">
        <f>T11+T16+T21+T26+T31+T36</f>
        <v>14613831198</v>
      </c>
      <c r="U5" s="336">
        <f t="shared" si="8"/>
        <v>0.84064836619880345</v>
      </c>
      <c r="V5" s="334">
        <f>V11+V16+V26+V31+V36+V21</f>
        <v>19456000000</v>
      </c>
      <c r="W5" s="334">
        <f>W11+W16+W21+W26+W31+W36</f>
        <v>14880940078</v>
      </c>
      <c r="X5" s="335">
        <f t="shared" si="9"/>
        <v>0.76485094973273027</v>
      </c>
      <c r="Y5" s="334">
        <f>Y11+Y16+Y26+Y31+Y36+Y21</f>
        <v>23000000000</v>
      </c>
      <c r="Z5" s="334">
        <f>Z11+Z16+Z21+Z26+Z31+Z36</f>
        <v>16211166070</v>
      </c>
      <c r="AA5" s="336">
        <f>IFERROR(Z5/Y5,0%)</f>
        <v>0.70483330739130434</v>
      </c>
      <c r="AB5" s="334">
        <f>AB11+AB16+AB26+AB31+AB36+AB21</f>
        <v>24639000000</v>
      </c>
      <c r="AC5" s="334">
        <f>AC11+AC16+AC26+AC31+AC36</f>
        <v>12098005467</v>
      </c>
      <c r="AD5" s="336">
        <f t="shared" si="10"/>
        <v>0.49101040898575427</v>
      </c>
      <c r="AE5" s="334">
        <f>AE11+AE16+AE26+AE31+AE36+AE21</f>
        <v>23418000000</v>
      </c>
      <c r="AF5" s="334">
        <f>AF11+AF16+AF26+AF31+AF36+AF21</f>
        <v>14095000246</v>
      </c>
      <c r="AG5" s="336">
        <f t="shared" si="11"/>
        <v>0.60188744751900247</v>
      </c>
      <c r="AH5" s="334">
        <f>AH11+AH16+AH21+AH26+AH31+AH36</f>
        <v>24916000000</v>
      </c>
      <c r="AI5" s="334">
        <f t="shared" ref="AI5:AI7" si="52">AI11+AI16+AI26+AI31+AI36+AI21</f>
        <v>16941726478</v>
      </c>
      <c r="AJ5" s="336">
        <f t="shared" si="12"/>
        <v>0.679953703563975</v>
      </c>
      <c r="AK5" s="334">
        <f>AK11+AK16+AK21+AK26+AK31+AK36</f>
        <v>28499000000</v>
      </c>
      <c r="AL5" s="334">
        <f>AL11+AL16+AL21+AL26+AL31+AL36</f>
        <v>17378768618</v>
      </c>
      <c r="AM5" s="336">
        <f t="shared" si="13"/>
        <v>0.60980275160531949</v>
      </c>
      <c r="AN5" s="334">
        <f>AN11+AN16+AN21+AN26+AN31+AN36</f>
        <v>29341000000</v>
      </c>
      <c r="AO5" s="334">
        <f>AO11+AO16+AO21+AO26+AO31+AO36</f>
        <v>16761529462</v>
      </c>
      <c r="AP5" s="336">
        <f t="shared" si="14"/>
        <v>0.57126646883200982</v>
      </c>
      <c r="AQ5" s="334">
        <f t="shared" si="0"/>
        <v>38297000000</v>
      </c>
      <c r="AR5" s="334">
        <f t="shared" si="1"/>
        <v>43100125957</v>
      </c>
      <c r="AS5" s="335">
        <f t="shared" si="15"/>
        <v>1.1254178122829464</v>
      </c>
      <c r="AT5" s="334">
        <f t="shared" si="16"/>
        <v>54040000000</v>
      </c>
      <c r="AU5" s="334">
        <f t="shared" si="16"/>
        <v>46210948199</v>
      </c>
      <c r="AV5" s="335">
        <f t="shared" si="17"/>
        <v>0.85512487414877869</v>
      </c>
      <c r="AW5" s="334">
        <f t="shared" si="18"/>
        <v>71057000000</v>
      </c>
      <c r="AX5" s="334">
        <f t="shared" si="19"/>
        <v>45705937346</v>
      </c>
      <c r="AY5" s="335">
        <f t="shared" si="20"/>
        <v>0.64322920114837379</v>
      </c>
      <c r="AZ5" s="334">
        <f t="shared" si="21"/>
        <v>82756000000</v>
      </c>
      <c r="BA5" s="334">
        <f t="shared" si="22"/>
        <v>51082024558</v>
      </c>
      <c r="BB5" s="335">
        <f t="shared" si="23"/>
        <v>0.6172606766639277</v>
      </c>
      <c r="BC5" s="334">
        <f t="shared" si="24"/>
        <v>216809000000</v>
      </c>
      <c r="BD5" s="334">
        <f t="shared" si="24"/>
        <v>169337506598</v>
      </c>
      <c r="BE5" s="335">
        <f t="shared" si="25"/>
        <v>0.78104463651416689</v>
      </c>
      <c r="BF5" s="244">
        <f t="shared" ref="BF5:BF38" si="53">(BD5/11*1.1+BD5)/D5</f>
        <v>0.75673880665366644</v>
      </c>
      <c r="BG5" s="39" t="s">
        <v>102</v>
      </c>
      <c r="BH5" s="45">
        <f>SUM!OJ20</f>
        <v>1502.851732265</v>
      </c>
      <c r="BI5" s="45">
        <f>SUM!OJ16</f>
        <v>462.48371820400001</v>
      </c>
      <c r="BJ5" s="45">
        <f>SUM!OJ19</f>
        <v>368.475649788</v>
      </c>
      <c r="BK5" s="45">
        <f>SUM!OJ18</f>
        <v>50.971061825</v>
      </c>
      <c r="BL5" s="45">
        <f>SUM!OJ15</f>
        <v>52.577736635000001</v>
      </c>
      <c r="BM5" s="45">
        <f>SUM!OJ17</f>
        <v>37.099503712999997</v>
      </c>
      <c r="BO5" s="484"/>
      <c r="BP5" s="485"/>
      <c r="BQ5" s="354" t="s">
        <v>40</v>
      </c>
      <c r="BR5" s="334">
        <f t="shared" ref="BR5:BS5" si="54">BR11+BR16+BR21+BR26+BR31+BR36</f>
        <v>235899000000</v>
      </c>
      <c r="BS5" s="334">
        <f t="shared" si="54"/>
        <v>5988000000</v>
      </c>
      <c r="BT5" s="335">
        <f t="shared" si="26"/>
        <v>2.5383744738214236E-2</v>
      </c>
      <c r="BU5" s="334">
        <f>BU11+BU21+BU26+BU31+BU36+BU16</f>
        <v>17183000000</v>
      </c>
      <c r="BV5" s="334">
        <f>BV11+BV21+BV26+BV31+BV36+BV16</f>
        <v>5988000000</v>
      </c>
      <c r="BW5" s="335">
        <f t="shared" si="27"/>
        <v>0.3484839667112844</v>
      </c>
      <c r="BX5" s="334">
        <f>BX11+BX21+BX26+BX31+BX36+BX16</f>
        <v>12654000000</v>
      </c>
      <c r="BY5" s="334">
        <f>BY11+BY21+BY26+BY31+BY36+BY16</f>
        <v>0</v>
      </c>
      <c r="BZ5" s="335">
        <f t="shared" si="28"/>
        <v>0</v>
      </c>
      <c r="CA5" s="334">
        <f>CA11+CA21+CA26+CA31+CA36+CA16</f>
        <v>13659000000</v>
      </c>
      <c r="CB5" s="334">
        <f>CB11+CB21+CB26+CB31+CB36+CB16</f>
        <v>0</v>
      </c>
      <c r="CC5" s="335">
        <f t="shared" si="29"/>
        <v>0</v>
      </c>
      <c r="CD5" s="334">
        <v>17200000000</v>
      </c>
      <c r="CE5" s="334">
        <f t="shared" ref="CE5:CE7" si="55">CE11+CE16+CE26+CE31+CE36</f>
        <v>0</v>
      </c>
      <c r="CF5" s="335">
        <f t="shared" ref="CF5:CF16" si="56">IFERROR(CE5/CD5,0%)</f>
        <v>0</v>
      </c>
      <c r="CG5" s="334">
        <f>CG11+CG16+CG26+CG31+CG36+CG21</f>
        <v>16584000000</v>
      </c>
      <c r="CH5" s="334">
        <f>CH11+CH16+CH21+CH26+CH31+CH36</f>
        <v>0</v>
      </c>
      <c r="CI5" s="336">
        <f t="shared" si="30"/>
        <v>0</v>
      </c>
      <c r="CJ5" s="334">
        <f>CJ11+CJ16+CJ26+CJ31+CJ36+CJ21</f>
        <v>18396000000</v>
      </c>
      <c r="CK5" s="334">
        <f>CK11+CK16+CK21+CK26+CK31+CK36</f>
        <v>0</v>
      </c>
      <c r="CL5" s="335">
        <f t="shared" si="31"/>
        <v>0</v>
      </c>
      <c r="CM5" s="334">
        <f>CM11+CM16+CM26+CM31+CM36+CM21</f>
        <v>21100000000</v>
      </c>
      <c r="CN5" s="334">
        <f>CN11+CN16+CN21+CN26+CN31+CN36</f>
        <v>0</v>
      </c>
      <c r="CO5" s="336">
        <f>IFERROR(CN5/CM5,0%)</f>
        <v>0</v>
      </c>
      <c r="CP5" s="334">
        <f>CP11+CP16+CP26+CP31+CP36+CP21</f>
        <v>22289000000</v>
      </c>
      <c r="CQ5" s="334">
        <f>CQ11+CQ16+CQ26+CQ31+CQ36</f>
        <v>0</v>
      </c>
      <c r="CR5" s="336">
        <f t="shared" si="32"/>
        <v>0</v>
      </c>
      <c r="CS5" s="334">
        <f>CS11+CS16+CS26+CS31+CS36+CS21</f>
        <v>21718000000</v>
      </c>
      <c r="CT5" s="334">
        <f>CT11+CT16+CT26+CT31+CT36+CT21</f>
        <v>0</v>
      </c>
      <c r="CU5" s="336">
        <f t="shared" si="33"/>
        <v>0</v>
      </c>
      <c r="CV5" s="334">
        <f>CV11+CV16+CV21+CV26+CV31+CV36</f>
        <v>23016000000</v>
      </c>
      <c r="CW5" s="334">
        <f t="shared" ref="CW5:CW7" si="57">CW11+CW16+CW26+CW31+CW36+CW21</f>
        <v>0</v>
      </c>
      <c r="CX5" s="336">
        <f t="shared" si="34"/>
        <v>0</v>
      </c>
      <c r="CY5" s="334">
        <f>CY11+CY16+CY21+CY26+CY31+CY36</f>
        <v>25899000000</v>
      </c>
      <c r="CZ5" s="334">
        <f>CZ11+CZ16+CZ21+CZ26+CZ31+CZ36</f>
        <v>0</v>
      </c>
      <c r="DA5" s="336">
        <f t="shared" si="35"/>
        <v>0</v>
      </c>
      <c r="DB5" s="334">
        <f>DB11+DB16+DB21+DB26+DB31+DB36</f>
        <v>26741000000</v>
      </c>
      <c r="DC5" s="334">
        <f>DC11+DC16+DC21+DC26+DC31+DC36</f>
        <v>0</v>
      </c>
      <c r="DD5" s="336">
        <f t="shared" si="36"/>
        <v>0</v>
      </c>
      <c r="DE5" s="334">
        <f t="shared" si="2"/>
        <v>43496000000</v>
      </c>
      <c r="DF5" s="334">
        <f t="shared" si="3"/>
        <v>5988000000</v>
      </c>
      <c r="DG5" s="335">
        <f t="shared" si="37"/>
        <v>0.13766783152473791</v>
      </c>
      <c r="DH5" s="334">
        <f t="shared" si="38"/>
        <v>52180000000</v>
      </c>
      <c r="DI5" s="334">
        <f t="shared" si="39"/>
        <v>0</v>
      </c>
      <c r="DJ5" s="335">
        <f t="shared" si="40"/>
        <v>0</v>
      </c>
      <c r="DK5" s="334">
        <f t="shared" si="41"/>
        <v>65107000000</v>
      </c>
      <c r="DL5" s="334">
        <f t="shared" si="42"/>
        <v>0</v>
      </c>
      <c r="DM5" s="335">
        <f t="shared" si="43"/>
        <v>0</v>
      </c>
      <c r="DN5" s="334">
        <f t="shared" si="44"/>
        <v>75656000000</v>
      </c>
      <c r="DO5" s="334">
        <f t="shared" si="45"/>
        <v>0</v>
      </c>
      <c r="DP5" s="335">
        <f t="shared" si="46"/>
        <v>0</v>
      </c>
      <c r="DQ5" s="334">
        <f t="shared" si="47"/>
        <v>209698000000</v>
      </c>
      <c r="DR5" s="334">
        <f t="shared" si="48"/>
        <v>5988000000</v>
      </c>
      <c r="DS5" s="335">
        <f t="shared" si="49"/>
        <v>2.8555351028622115E-2</v>
      </c>
      <c r="DT5" s="244">
        <f t="shared" ref="DT5:DT7" si="58">(DR5/11*1.1+DR5)/BR5</f>
        <v>2.7922119212035659E-2</v>
      </c>
    </row>
    <row r="6" spans="1:124" ht="15">
      <c r="A6" s="484"/>
      <c r="B6" s="484" t="s">
        <v>41</v>
      </c>
      <c r="C6" s="354" t="s">
        <v>103</v>
      </c>
      <c r="D6" s="334">
        <f t="shared" si="50"/>
        <v>58000000000</v>
      </c>
      <c r="E6" s="334">
        <f t="shared" si="50"/>
        <v>31756000000</v>
      </c>
      <c r="F6" s="335">
        <f>IFERROR(E6/D6,0%)</f>
        <v>0.54751724137931035</v>
      </c>
      <c r="G6" s="334">
        <f>G12+G17+G22+G27+G32+G37</f>
        <v>3401000000</v>
      </c>
      <c r="H6" s="334">
        <f>H12+H17+H22+H27+H32+H37</f>
        <v>2276000000</v>
      </c>
      <c r="I6" s="335">
        <f t="shared" si="5"/>
        <v>0.66921493678329902</v>
      </c>
      <c r="J6" s="334">
        <f>J12+J17+J22+J27+J32+J37</f>
        <v>2901000000</v>
      </c>
      <c r="K6" s="334">
        <f>K12+K17+K22+K27+K32+K37</f>
        <v>2271000000</v>
      </c>
      <c r="L6" s="335">
        <f t="shared" si="6"/>
        <v>0.78283350568769394</v>
      </c>
      <c r="M6" s="334">
        <f>M12+M17+M22+M27+M32+M37</f>
        <v>3159000000</v>
      </c>
      <c r="N6" s="334">
        <f>N12+N17+N22+N27+N32+N37</f>
        <v>2349000000</v>
      </c>
      <c r="O6" s="335">
        <f t="shared" si="7"/>
        <v>0.74358974358974361</v>
      </c>
      <c r="P6" s="334">
        <v>4503000000</v>
      </c>
      <c r="Q6" s="334">
        <f>S13+Q17+Q22+Q27+Q32+Q37</f>
        <v>4693000000</v>
      </c>
      <c r="R6" s="335">
        <f t="shared" si="51"/>
        <v>1.0421940928270041</v>
      </c>
      <c r="S6" s="334">
        <f>S12+S17+S27+S32+S37+S22</f>
        <v>4508000000</v>
      </c>
      <c r="T6" s="334">
        <f>T12+T17+T22+T27+T32+T37</f>
        <v>2498000000</v>
      </c>
      <c r="U6" s="336">
        <f t="shared" si="8"/>
        <v>0.55412599822537711</v>
      </c>
      <c r="V6" s="334">
        <f>V12+V17+V27+V32+V37+V22</f>
        <v>5161000000</v>
      </c>
      <c r="W6" s="334">
        <f>W12+W17+W22+W27+W32+W37</f>
        <v>2475000000</v>
      </c>
      <c r="X6" s="335">
        <f t="shared" si="9"/>
        <v>0.47955822515016472</v>
      </c>
      <c r="Y6" s="334">
        <f>Y12+Y17+Y27+Y32+Y37+Y22</f>
        <v>5453000000</v>
      </c>
      <c r="Z6" s="334">
        <f>Z12+Z17+Z22+Z27+Z32+Z37</f>
        <v>2700000000</v>
      </c>
      <c r="AA6" s="336">
        <f>IFERROR(Z6/Y6,0%)</f>
        <v>0.49514028974876217</v>
      </c>
      <c r="AB6" s="334">
        <f>AB12+AB17+AB27+AB32+AB37+AB22</f>
        <v>5643000000</v>
      </c>
      <c r="AC6" s="334">
        <f>AC12+AC17+AC22+AC27+AC32+AC37</f>
        <v>2813000000</v>
      </c>
      <c r="AD6" s="336">
        <f t="shared" si="10"/>
        <v>0.49849370902002482</v>
      </c>
      <c r="AE6" s="334">
        <f t="shared" ref="AE6:AF7" si="59">AE12+AE17+AE27+AE32+AE37+AE22</f>
        <v>5813000000</v>
      </c>
      <c r="AF6" s="334">
        <f t="shared" ref="AF6" si="60">AF12+AF17+AF27+AF32+AF37+AF22</f>
        <v>3060000000</v>
      </c>
      <c r="AG6" s="336">
        <f t="shared" si="11"/>
        <v>0.52640633063822462</v>
      </c>
      <c r="AH6" s="334">
        <f>AH12+AH17+AH22+AH27+AH32+AH37</f>
        <v>5648000000</v>
      </c>
      <c r="AI6" s="334">
        <f>AI12+AI17+AI27+AI32+AI37+AI22</f>
        <v>3147000000</v>
      </c>
      <c r="AJ6" s="336">
        <f t="shared" si="12"/>
        <v>0.55718838526912184</v>
      </c>
      <c r="AK6" s="334">
        <f>AK12+AK17+AK22+AK27+AK32+AK37</f>
        <v>5676000000</v>
      </c>
      <c r="AL6" s="334">
        <f>AL12+AL17+AL22+AL27+AL32+AL37</f>
        <v>2836000000</v>
      </c>
      <c r="AM6" s="336">
        <f t="shared" si="13"/>
        <v>0.49964763918252292</v>
      </c>
      <c r="AN6" s="334">
        <f>AN12+AN17+AN22+AN27+AN32+AN37</f>
        <v>5734000000</v>
      </c>
      <c r="AO6" s="334">
        <f>AO12+AO17+AO22+AO27+AO32+AO37</f>
        <v>2988000000</v>
      </c>
      <c r="AP6" s="336">
        <f t="shared" si="14"/>
        <v>0.52110219741890473</v>
      </c>
      <c r="AQ6" s="334">
        <f t="shared" si="0"/>
        <v>9461000000</v>
      </c>
      <c r="AR6" s="334">
        <f t="shared" si="1"/>
        <v>6896000000</v>
      </c>
      <c r="AS6" s="335">
        <f t="shared" si="15"/>
        <v>0.72888700982982768</v>
      </c>
      <c r="AT6" s="334">
        <f t="shared" si="16"/>
        <v>14172000000</v>
      </c>
      <c r="AU6" s="334">
        <f t="shared" si="16"/>
        <v>9666000000</v>
      </c>
      <c r="AV6" s="335">
        <f t="shared" si="17"/>
        <v>0.68204911092294662</v>
      </c>
      <c r="AW6" s="334">
        <f t="shared" si="18"/>
        <v>16909000000</v>
      </c>
      <c r="AX6" s="334">
        <f t="shared" si="19"/>
        <v>7673000000</v>
      </c>
      <c r="AY6" s="335">
        <f t="shared" si="20"/>
        <v>0.45378200958069664</v>
      </c>
      <c r="AZ6" s="334">
        <f t="shared" si="21"/>
        <v>17058000000</v>
      </c>
      <c r="BA6" s="334">
        <f t="shared" si="22"/>
        <v>8971000000</v>
      </c>
      <c r="BB6" s="335">
        <f t="shared" si="23"/>
        <v>0.5259115957322078</v>
      </c>
      <c r="BC6" s="334">
        <f t="shared" si="24"/>
        <v>51866000000</v>
      </c>
      <c r="BD6" s="334">
        <f t="shared" si="24"/>
        <v>30218000000</v>
      </c>
      <c r="BE6" s="335">
        <f t="shared" si="25"/>
        <v>0.58261674314579881</v>
      </c>
      <c r="BF6" s="244">
        <f t="shared" si="53"/>
        <v>0.57310000000000005</v>
      </c>
      <c r="BG6" s="39" t="s">
        <v>36</v>
      </c>
      <c r="BH6" s="45">
        <f>BA14/10^9</f>
        <v>70.670452354000005</v>
      </c>
      <c r="BI6" s="45">
        <f>BA19/10^9</f>
        <v>42.265984576999998</v>
      </c>
      <c r="BJ6" s="45">
        <f>BA24/10^9</f>
        <v>39.996711181999999</v>
      </c>
      <c r="BK6" s="45">
        <f>BA29/10^9</f>
        <v>1.9173009519999999</v>
      </c>
      <c r="BL6" s="45">
        <f>BA34/10^9</f>
        <v>4.7866927429999997</v>
      </c>
      <c r="BM6" s="45">
        <f>BA39/10^9</f>
        <v>3.2307000000000001</v>
      </c>
      <c r="BO6" s="484"/>
      <c r="BP6" s="484" t="s">
        <v>41</v>
      </c>
      <c r="BQ6" s="354" t="s">
        <v>103</v>
      </c>
      <c r="BR6" s="334">
        <f t="shared" ref="BR6:BS6" si="61">BR12+BR17+BR22+BR27+BR32+BR37</f>
        <v>64321000000</v>
      </c>
      <c r="BS6" s="334">
        <f t="shared" si="61"/>
        <v>1173000000</v>
      </c>
      <c r="BT6" s="335">
        <f>IFERROR(BS6/BR6,0%)</f>
        <v>1.8236656768396014E-2</v>
      </c>
      <c r="BU6" s="334">
        <f>BU12+BU18+BU22+BU27+BU32+BU37</f>
        <v>9722000000</v>
      </c>
      <c r="BV6" s="334">
        <f>BV12+BV17+BV22+BV27+BV32+BV37</f>
        <v>1173000000</v>
      </c>
      <c r="BW6" s="335">
        <f t="shared" si="27"/>
        <v>0.120654186381403</v>
      </c>
      <c r="BX6" s="334">
        <f>BX12+BX17+BX22+BX27+BX32+BX37</f>
        <v>2901000000</v>
      </c>
      <c r="BY6" s="334">
        <f>BY12+BY17+BY22+BY27+BY32+BY37</f>
        <v>0</v>
      </c>
      <c r="BZ6" s="335">
        <f t="shared" si="28"/>
        <v>0</v>
      </c>
      <c r="CA6" s="334">
        <f>CA12+CA17+CA22+CA27+CA32+CA37</f>
        <v>3159000000</v>
      </c>
      <c r="CB6" s="334">
        <f>CB12+CB17+CB22+CB27+CB32+CB37</f>
        <v>0</v>
      </c>
      <c r="CC6" s="335">
        <f t="shared" si="29"/>
        <v>0</v>
      </c>
      <c r="CD6" s="334">
        <v>4503000000</v>
      </c>
      <c r="CE6" s="334">
        <f t="shared" si="55"/>
        <v>0</v>
      </c>
      <c r="CF6" s="335">
        <f t="shared" si="56"/>
        <v>0</v>
      </c>
      <c r="CG6" s="334">
        <f>CG12+CG17+CG27+CG32+CG37+CG22</f>
        <v>4508000000</v>
      </c>
      <c r="CH6" s="334">
        <f>CH12+CH17+CH22+CH27+CH32+CH37</f>
        <v>0</v>
      </c>
      <c r="CI6" s="336">
        <f t="shared" si="30"/>
        <v>0</v>
      </c>
      <c r="CJ6" s="334">
        <f>CJ12+CJ17+CJ27+CJ32+CJ37+CJ22</f>
        <v>5161000000</v>
      </c>
      <c r="CK6" s="334">
        <f>CK12+CK17+CK22+CK27+CK32+CK37</f>
        <v>0</v>
      </c>
      <c r="CL6" s="335">
        <f t="shared" si="31"/>
        <v>0</v>
      </c>
      <c r="CM6" s="334">
        <f>CM12+CM17+CM27+CM32+CM37+CM22</f>
        <v>5453000000</v>
      </c>
      <c r="CN6" s="334">
        <f>CN12+CN17+CN22+CN27+CN32+CN37</f>
        <v>0</v>
      </c>
      <c r="CO6" s="336">
        <f>IFERROR(CN6/CM6,0%)</f>
        <v>0</v>
      </c>
      <c r="CP6" s="334">
        <f>CP12+CP17+CP27+CP32+CP37+CP22</f>
        <v>5643000000</v>
      </c>
      <c r="CQ6" s="334">
        <f>CQ12+CQ17+CQ22+CQ27+CQ32+CQ37</f>
        <v>0</v>
      </c>
      <c r="CR6" s="336">
        <f t="shared" si="32"/>
        <v>0</v>
      </c>
      <c r="CS6" s="334">
        <f t="shared" ref="CS6:CT7" si="62">CS12+CS17+CS27+CS32+CS37+CS22</f>
        <v>5813000000</v>
      </c>
      <c r="CT6" s="334">
        <f t="shared" si="62"/>
        <v>0</v>
      </c>
      <c r="CU6" s="336">
        <f t="shared" si="33"/>
        <v>0</v>
      </c>
      <c r="CV6" s="334">
        <f>CV12+CV17+CV22+CV27+CV32+CV37</f>
        <v>5648000000</v>
      </c>
      <c r="CW6" s="334">
        <f>CW12+CW17+CW27+CW32+CW37+CW22</f>
        <v>0</v>
      </c>
      <c r="CX6" s="336">
        <f t="shared" si="34"/>
        <v>0</v>
      </c>
      <c r="CY6" s="334">
        <f>CY12+CY17+CY22+CY27+CY32+CY37</f>
        <v>5676000000</v>
      </c>
      <c r="CZ6" s="334">
        <f>CZ12+CZ17+CZ22+CZ27+CZ32+CZ37</f>
        <v>0</v>
      </c>
      <c r="DA6" s="336">
        <f t="shared" si="35"/>
        <v>0</v>
      </c>
      <c r="DB6" s="334">
        <f>DB12+DB17+DB22+DB27+DB32+DB37</f>
        <v>5734000000</v>
      </c>
      <c r="DC6" s="334">
        <f>DC12+DC17+DC22+DC27+DC32+DC37</f>
        <v>0</v>
      </c>
      <c r="DD6" s="336">
        <f t="shared" si="36"/>
        <v>0</v>
      </c>
      <c r="DE6" s="334">
        <f t="shared" si="2"/>
        <v>15782000000</v>
      </c>
      <c r="DF6" s="334">
        <f t="shared" si="3"/>
        <v>1173000000</v>
      </c>
      <c r="DG6" s="335">
        <f t="shared" si="37"/>
        <v>7.432518058547713E-2</v>
      </c>
      <c r="DH6" s="334">
        <f t="shared" si="38"/>
        <v>14172000000</v>
      </c>
      <c r="DI6" s="334">
        <f t="shared" si="39"/>
        <v>0</v>
      </c>
      <c r="DJ6" s="335">
        <f t="shared" si="40"/>
        <v>0</v>
      </c>
      <c r="DK6" s="334">
        <f t="shared" si="41"/>
        <v>16909000000</v>
      </c>
      <c r="DL6" s="334">
        <f t="shared" si="42"/>
        <v>0</v>
      </c>
      <c r="DM6" s="335">
        <f t="shared" si="43"/>
        <v>0</v>
      </c>
      <c r="DN6" s="334">
        <f t="shared" si="44"/>
        <v>17058000000</v>
      </c>
      <c r="DO6" s="334">
        <f t="shared" si="45"/>
        <v>0</v>
      </c>
      <c r="DP6" s="335">
        <f t="shared" si="46"/>
        <v>0</v>
      </c>
      <c r="DQ6" s="334">
        <f t="shared" si="47"/>
        <v>58187000000</v>
      </c>
      <c r="DR6" s="334">
        <f t="shared" si="48"/>
        <v>1173000000</v>
      </c>
      <c r="DS6" s="335">
        <f t="shared" si="49"/>
        <v>2.0159142076408818E-2</v>
      </c>
      <c r="DT6" s="244">
        <f t="shared" si="58"/>
        <v>2.0060322445235614E-2</v>
      </c>
    </row>
    <row r="7" spans="1:124" ht="15">
      <c r="A7" s="485"/>
      <c r="B7" s="485"/>
      <c r="C7" s="354" t="s">
        <v>104</v>
      </c>
      <c r="D7" s="334">
        <f t="shared" si="50"/>
        <v>170650000000</v>
      </c>
      <c r="E7" s="334">
        <f t="shared" si="50"/>
        <v>237860496294</v>
      </c>
      <c r="F7" s="335">
        <f>IFERROR((E6/2+E7)/D7,0%)</f>
        <v>1.4868942062349839</v>
      </c>
      <c r="G7" s="334">
        <f>G13+G18+G23+G33+G38+G28</f>
        <v>12259000000</v>
      </c>
      <c r="H7" s="334">
        <f>H13+H18+H23+H33+H38+H28</f>
        <v>14447786725</v>
      </c>
      <c r="I7" s="335">
        <f t="shared" si="5"/>
        <v>1.1785452912146179</v>
      </c>
      <c r="J7" s="334">
        <f>J13+J18+J23+J33+J38+J28</f>
        <v>10626000000</v>
      </c>
      <c r="K7" s="334">
        <f>K13+K18+K23+K33+K38+K28</f>
        <v>16135984350</v>
      </c>
      <c r="L7" s="335">
        <f t="shared" si="6"/>
        <v>1.51853795878035</v>
      </c>
      <c r="M7" s="334">
        <f>M13+M18+M23+M33+M38+M28</f>
        <v>13134000000</v>
      </c>
      <c r="N7" s="334">
        <f>N13+N18+N23+N33+N38+N28</f>
        <v>21244430108</v>
      </c>
      <c r="O7" s="335">
        <f t="shared" si="7"/>
        <v>1.6175140938023451</v>
      </c>
      <c r="P7" s="334">
        <v>14956000000</v>
      </c>
      <c r="Q7" s="334">
        <f>Q13+Q18+Q23+Q28+Q33+Q38</f>
        <v>18265524944</v>
      </c>
      <c r="R7" s="335">
        <f t="shared" si="51"/>
        <v>1.2212840962824285</v>
      </c>
      <c r="S7" s="334">
        <f>S13+S18+S28+S33+S38+S23</f>
        <v>12781000000</v>
      </c>
      <c r="T7" s="334">
        <f>T13+T18+T23+T28+T33+T38</f>
        <v>22528681186</v>
      </c>
      <c r="U7" s="336">
        <f t="shared" si="8"/>
        <v>1.7626696804631876</v>
      </c>
      <c r="V7" s="334">
        <f>V13+V18+V28+V33+V38+V23</f>
        <v>13191000000</v>
      </c>
      <c r="W7" s="334">
        <f>W13+W18+W23+W28+W33+W38</f>
        <v>21981339005</v>
      </c>
      <c r="X7" s="335">
        <f t="shared" si="9"/>
        <v>1.6663891293306041</v>
      </c>
      <c r="Y7" s="334">
        <f>Y13+Y18+Y28+Y33+Y38+Y23</f>
        <v>15119000000</v>
      </c>
      <c r="Z7" s="334">
        <f>Z13+Z18+Z23+Z28+Z33+Z38</f>
        <v>20155911227</v>
      </c>
      <c r="AA7" s="336">
        <f>IFERROR(Z7/Y7,0%)</f>
        <v>1.3331510832065612</v>
      </c>
      <c r="AB7" s="334">
        <f>AB13+AB18+AB28+AB33+AB38+AB23</f>
        <v>14408000000</v>
      </c>
      <c r="AC7" s="334">
        <f>AC13+AC18+AC23+AC28+AC33+AC38</f>
        <v>21072783640</v>
      </c>
      <c r="AD7" s="336">
        <f t="shared" si="10"/>
        <v>1.4625752109938923</v>
      </c>
      <c r="AE7" s="334">
        <f t="shared" si="59"/>
        <v>13656000000</v>
      </c>
      <c r="AF7" s="334">
        <f t="shared" ref="AF7" si="63">AF13+AF18+AF28+AF33+AF38+AF23</f>
        <v>17455429204</v>
      </c>
      <c r="AG7" s="336">
        <f t="shared" si="11"/>
        <v>1.2782241654950206</v>
      </c>
      <c r="AH7" s="334">
        <f>AH13+AH18+AH23+AH28+AH33+AH38</f>
        <v>16495000000</v>
      </c>
      <c r="AI7" s="334">
        <f t="shared" si="52"/>
        <v>21869776704</v>
      </c>
      <c r="AJ7" s="336">
        <f t="shared" si="12"/>
        <v>1.3258427829039103</v>
      </c>
      <c r="AK7" s="334">
        <f>AK13+AK18+AK23+AK28+AK33+AK38</f>
        <v>18752000000</v>
      </c>
      <c r="AL7" s="334">
        <f>AL13+AL18+AL23+AL28+AL33+AL38</f>
        <v>23764709763</v>
      </c>
      <c r="AM7" s="336">
        <f t="shared" si="13"/>
        <v>1.2673160069859215</v>
      </c>
      <c r="AN7" s="334">
        <f>AN13+AN18+AN23+AN28+AN33+AN38</f>
        <v>15672000000</v>
      </c>
      <c r="AO7" s="334">
        <f>AO13+AO18+AO23+AO28+AO33+AO38</f>
        <v>18938139438</v>
      </c>
      <c r="AP7" s="336">
        <f t="shared" si="14"/>
        <v>1.2084060386676876</v>
      </c>
      <c r="AQ7" s="334">
        <f t="shared" si="0"/>
        <v>36019000000</v>
      </c>
      <c r="AR7" s="334">
        <f t="shared" si="1"/>
        <v>51828201183</v>
      </c>
      <c r="AS7" s="335">
        <f t="shared" si="15"/>
        <v>1.4389128288680975</v>
      </c>
      <c r="AT7" s="334">
        <f t="shared" si="16"/>
        <v>40928000000</v>
      </c>
      <c r="AU7" s="334">
        <f t="shared" si="16"/>
        <v>62775545135</v>
      </c>
      <c r="AV7" s="335">
        <f t="shared" si="17"/>
        <v>1.5338043670592258</v>
      </c>
      <c r="AW7" s="334">
        <f t="shared" si="18"/>
        <v>43183000000</v>
      </c>
      <c r="AX7" s="334">
        <f t="shared" si="19"/>
        <v>64665931418</v>
      </c>
      <c r="AY7" s="335">
        <f t="shared" si="20"/>
        <v>1.4974858490146585</v>
      </c>
      <c r="AZ7" s="334">
        <f t="shared" si="21"/>
        <v>50919000000</v>
      </c>
      <c r="BA7" s="334">
        <f t="shared" si="22"/>
        <v>64572625905</v>
      </c>
      <c r="BB7" s="335">
        <f t="shared" si="23"/>
        <v>1.2681440308136451</v>
      </c>
      <c r="BC7" s="334">
        <f t="shared" si="24"/>
        <v>155377000000</v>
      </c>
      <c r="BD7" s="334">
        <f t="shared" si="24"/>
        <v>224904164203</v>
      </c>
      <c r="BE7" s="335">
        <f t="shared" si="25"/>
        <v>1.4474739775063232</v>
      </c>
      <c r="BF7" s="244">
        <f t="shared" si="53"/>
        <v>1.4497191949797832</v>
      </c>
      <c r="BG7" s="39"/>
      <c r="BO7" s="485"/>
      <c r="BP7" s="485"/>
      <c r="BQ7" s="354" t="s">
        <v>104</v>
      </c>
      <c r="BR7" s="334">
        <f t="shared" ref="BR7:BS7" si="64">BR13+BR18+BR23+BR28+BR33+BR38</f>
        <v>160367000000</v>
      </c>
      <c r="BS7" s="334">
        <f t="shared" si="64"/>
        <v>7249070000</v>
      </c>
      <c r="BT7" s="335">
        <f>IFERROR((BS6/2+BS7)/BR7,0%)</f>
        <v>4.8860239326045884E-2</v>
      </c>
      <c r="BU7" s="334">
        <f>BU13+BU18+BU23+BU33+BU38+BU28</f>
        <v>15426000000</v>
      </c>
      <c r="BV7" s="334">
        <f>BV13+BV18+BV23+BV33+BV38+BV28</f>
        <v>7249070000</v>
      </c>
      <c r="BW7" s="335">
        <f t="shared" si="27"/>
        <v>0.46992545053805262</v>
      </c>
      <c r="BX7" s="334">
        <f>BX13+BX18+BX23+BX33+BX38+BX28</f>
        <v>10626000000</v>
      </c>
      <c r="BY7" s="334">
        <f>BY13+BY18+BY23+BY33+BY38+BY28</f>
        <v>0</v>
      </c>
      <c r="BZ7" s="335">
        <f t="shared" si="28"/>
        <v>0</v>
      </c>
      <c r="CA7" s="334">
        <f>CA13+CA18+CA23+CA33+CA38+CA28</f>
        <v>12634000000</v>
      </c>
      <c r="CB7" s="334">
        <f>CB13+CB18+CB23+CB33+CB38+CB28</f>
        <v>0</v>
      </c>
      <c r="CC7" s="335">
        <f t="shared" si="29"/>
        <v>0</v>
      </c>
      <c r="CD7" s="334">
        <v>14956000000</v>
      </c>
      <c r="CE7" s="334">
        <f t="shared" si="55"/>
        <v>0</v>
      </c>
      <c r="CF7" s="335">
        <f t="shared" si="56"/>
        <v>0</v>
      </c>
      <c r="CG7" s="334">
        <f>CG13+CG18+CG28+CG33+CG38+CG23</f>
        <v>11781000000</v>
      </c>
      <c r="CH7" s="334">
        <f>CH13+CH18+CH23+CH28+CH33+CH38</f>
        <v>0</v>
      </c>
      <c r="CI7" s="336">
        <f t="shared" si="30"/>
        <v>0</v>
      </c>
      <c r="CJ7" s="334">
        <f>CJ13+CJ18+CJ28+CJ33+CJ38+CJ23</f>
        <v>11991000000</v>
      </c>
      <c r="CK7" s="334">
        <f>CK13+CK18+CK23+CK28+CK33+CK38</f>
        <v>0</v>
      </c>
      <c r="CL7" s="335">
        <f t="shared" si="31"/>
        <v>0</v>
      </c>
      <c r="CM7" s="334">
        <f>CM13+CM18+CM28+CM33+CM38+CM23</f>
        <v>13619000000</v>
      </c>
      <c r="CN7" s="334">
        <f>CN13+CN18+CN23+CN28+CN33+CN38</f>
        <v>0</v>
      </c>
      <c r="CO7" s="336">
        <f>IFERROR(CN7/CM7,0%)</f>
        <v>0</v>
      </c>
      <c r="CP7" s="334">
        <f>CP13+CP18+CP28+CP33+CP38+CP23</f>
        <v>12908000000</v>
      </c>
      <c r="CQ7" s="334">
        <f>CQ13+CQ18+CQ23+CQ28+CQ33+CQ38</f>
        <v>0</v>
      </c>
      <c r="CR7" s="336">
        <f t="shared" si="32"/>
        <v>0</v>
      </c>
      <c r="CS7" s="334">
        <f t="shared" ref="CS7:CT7" si="65">CS13+CS18+CS28+CS33+CS38+CS23</f>
        <v>11856000000</v>
      </c>
      <c r="CT7" s="334">
        <f t="shared" si="62"/>
        <v>0</v>
      </c>
      <c r="CU7" s="336">
        <f t="shared" si="33"/>
        <v>0</v>
      </c>
      <c r="CV7" s="334">
        <f>CV13+CV18+CV23+CV28+CV33+CV38</f>
        <v>14995000000</v>
      </c>
      <c r="CW7" s="334">
        <f t="shared" si="57"/>
        <v>0</v>
      </c>
      <c r="CX7" s="336">
        <f t="shared" si="34"/>
        <v>0</v>
      </c>
      <c r="CY7" s="334">
        <f>CY13+CY18+CY23+CY28+CY33+CY38</f>
        <v>17252000000</v>
      </c>
      <c r="CZ7" s="334">
        <f>CZ13+CZ18+CZ23+CZ28+CZ33+CZ38</f>
        <v>0</v>
      </c>
      <c r="DA7" s="336">
        <f t="shared" si="35"/>
        <v>0</v>
      </c>
      <c r="DB7" s="334">
        <f>DB13+DB18+DB23+DB28+DB33+DB38</f>
        <v>14172000000</v>
      </c>
      <c r="DC7" s="334">
        <f>DC13+DC18+DC23+DC28+DC33+DC38</f>
        <v>0</v>
      </c>
      <c r="DD7" s="336">
        <f t="shared" si="36"/>
        <v>0</v>
      </c>
      <c r="DE7" s="334">
        <f t="shared" si="2"/>
        <v>38686000000</v>
      </c>
      <c r="DF7" s="334">
        <f t="shared" si="3"/>
        <v>7249070000</v>
      </c>
      <c r="DG7" s="335">
        <f t="shared" si="37"/>
        <v>0.18738225714728843</v>
      </c>
      <c r="DH7" s="334">
        <f t="shared" si="38"/>
        <v>38728000000</v>
      </c>
      <c r="DI7" s="334">
        <f t="shared" si="39"/>
        <v>0</v>
      </c>
      <c r="DJ7" s="335">
        <f t="shared" si="40"/>
        <v>0</v>
      </c>
      <c r="DK7" s="334">
        <f t="shared" si="41"/>
        <v>38383000000</v>
      </c>
      <c r="DL7" s="334">
        <f t="shared" si="42"/>
        <v>0</v>
      </c>
      <c r="DM7" s="335">
        <f t="shared" si="43"/>
        <v>0</v>
      </c>
      <c r="DN7" s="334">
        <f t="shared" si="44"/>
        <v>46419000000</v>
      </c>
      <c r="DO7" s="334">
        <f t="shared" si="45"/>
        <v>0</v>
      </c>
      <c r="DP7" s="335">
        <f t="shared" si="46"/>
        <v>0</v>
      </c>
      <c r="DQ7" s="334">
        <f t="shared" si="47"/>
        <v>148044000000</v>
      </c>
      <c r="DR7" s="334">
        <f t="shared" si="48"/>
        <v>7249070000</v>
      </c>
      <c r="DS7" s="335">
        <f t="shared" si="49"/>
        <v>4.8965645348680122E-2</v>
      </c>
      <c r="DT7" s="244">
        <f t="shared" si="58"/>
        <v>4.9723303422774014E-2</v>
      </c>
    </row>
    <row r="8" spans="1:124" ht="15">
      <c r="A8" s="525" t="s">
        <v>105</v>
      </c>
      <c r="B8" s="526"/>
      <c r="C8" s="526"/>
      <c r="D8" s="338">
        <f>SUM(D3:D7)</f>
        <v>612800000000</v>
      </c>
      <c r="E8" s="338">
        <f>SUM(E3:E7)</f>
        <v>588260672817</v>
      </c>
      <c r="F8" s="339">
        <f t="shared" si="4"/>
        <v>0.95995540603296348</v>
      </c>
      <c r="G8" s="338">
        <f t="shared" ref="G8" si="66">SUM(G3:G7)</f>
        <v>35606000000</v>
      </c>
      <c r="H8" s="338">
        <f>SUM(H3:H7)</f>
        <v>34588559517</v>
      </c>
      <c r="I8" s="340">
        <f>IFERROR(H8/G8,0%)</f>
        <v>0.97142502715834411</v>
      </c>
      <c r="J8" s="338">
        <f t="shared" ref="J8:K8" si="67">SUM(J3:J7)</f>
        <v>30474000000</v>
      </c>
      <c r="K8" s="338">
        <f t="shared" si="67"/>
        <v>37584048104</v>
      </c>
      <c r="L8" s="340">
        <f t="shared" si="6"/>
        <v>1.2333152229441491</v>
      </c>
      <c r="M8" s="338">
        <f t="shared" ref="M8:N8" si="68">SUM(M3:M7)</f>
        <v>39325000000</v>
      </c>
      <c r="N8" s="338">
        <f t="shared" si="68"/>
        <v>52770713719</v>
      </c>
      <c r="O8" s="340">
        <f t="shared" si="7"/>
        <v>1.3419126184106802</v>
      </c>
      <c r="P8" s="338">
        <f t="shared" ref="P8" si="69">SUM(P3:P7)</f>
        <v>46834000000</v>
      </c>
      <c r="Q8" s="338">
        <f>SUM(Q3:Q7)</f>
        <v>51509899817</v>
      </c>
      <c r="R8" s="340">
        <f t="shared" si="51"/>
        <v>1.0998398560234017</v>
      </c>
      <c r="S8" s="338">
        <f>SUM(S3:S7)</f>
        <v>46343000000</v>
      </c>
      <c r="T8" s="338">
        <f t="shared" ref="S8:T8" si="70">SUM(T3:T7)</f>
        <v>52767047365</v>
      </c>
      <c r="U8" s="339">
        <f t="shared" si="8"/>
        <v>1.138619583648016</v>
      </c>
      <c r="V8" s="338">
        <f t="shared" ref="V8:W8" si="71">SUM(V3:V7)</f>
        <v>52012000000</v>
      </c>
      <c r="W8" s="338">
        <f t="shared" si="71"/>
        <v>50666811211</v>
      </c>
      <c r="X8" s="340">
        <f t="shared" si="9"/>
        <v>0.97413695322233329</v>
      </c>
      <c r="Y8" s="338">
        <f t="shared" ref="Y8:Z8" si="72">SUM(Y3:Y7)</f>
        <v>55534000000</v>
      </c>
      <c r="Z8" s="338">
        <f t="shared" si="72"/>
        <v>50000243597</v>
      </c>
      <c r="AA8" s="339">
        <f>IFERROR(Z8/Y8,0%)</f>
        <v>0.90035372199013219</v>
      </c>
      <c r="AB8" s="338">
        <f>SUM(AB3:AB7)</f>
        <v>57800000000</v>
      </c>
      <c r="AC8" s="338">
        <f t="shared" ref="AB8:AC8" si="73">SUM(AC3:AC7)</f>
        <v>48953521727</v>
      </c>
      <c r="AD8" s="339">
        <f t="shared" si="10"/>
        <v>0.84694674268166092</v>
      </c>
      <c r="AE8" s="338">
        <f>SUM(AE3:AE7)</f>
        <v>53545000000</v>
      </c>
      <c r="AF8" s="338">
        <f t="shared" ref="AE8:AF8" si="74">SUM(AF3:AF7)</f>
        <v>44339233435</v>
      </c>
      <c r="AG8" s="339">
        <f t="shared" si="11"/>
        <v>0.82807420739564852</v>
      </c>
      <c r="AH8" s="338">
        <f t="shared" ref="AH8:AI8" si="75">SUM(AH3:AH7)</f>
        <v>60208000000</v>
      </c>
      <c r="AI8" s="338">
        <f t="shared" si="75"/>
        <v>57083904527</v>
      </c>
      <c r="AJ8" s="339">
        <f t="shared" si="12"/>
        <v>0.94811162182766406</v>
      </c>
      <c r="AK8" s="338">
        <f t="shared" ref="AK8:AL8" si="76">SUM(AK3:AK7)</f>
        <v>68332000000</v>
      </c>
      <c r="AL8" s="338">
        <f t="shared" si="76"/>
        <v>55709239431</v>
      </c>
      <c r="AM8" s="339">
        <f t="shared" si="13"/>
        <v>0.81527307017210093</v>
      </c>
      <c r="AN8" s="338">
        <f t="shared" ref="AN8:AO8" si="77">SUM(AN3:AN7)</f>
        <v>66789000000</v>
      </c>
      <c r="AO8" s="338">
        <f t="shared" si="77"/>
        <v>50074697850</v>
      </c>
      <c r="AP8" s="339">
        <f t="shared" si="14"/>
        <v>0.74974468625072987</v>
      </c>
      <c r="AQ8" s="338">
        <f>M8+J8+G8</f>
        <v>105405000000</v>
      </c>
      <c r="AR8" s="338">
        <f>N8+K8+H8</f>
        <v>124943321340</v>
      </c>
      <c r="AS8" s="340">
        <f t="shared" si="15"/>
        <v>1.1853642743702861</v>
      </c>
      <c r="AT8" s="338">
        <f>P8+S8+V8</f>
        <v>145189000000</v>
      </c>
      <c r="AU8" s="338">
        <f>Q8+T8+W8</f>
        <v>154943758393</v>
      </c>
      <c r="AV8" s="340">
        <f t="shared" si="17"/>
        <v>1.0671866215278016</v>
      </c>
      <c r="AW8" s="338">
        <f>Y8+AB8+AE8</f>
        <v>166879000000</v>
      </c>
      <c r="AX8" s="338">
        <f>Z8+AC8+AF8</f>
        <v>143292998759</v>
      </c>
      <c r="AY8" s="340">
        <f t="shared" si="20"/>
        <v>0.85866405454850525</v>
      </c>
      <c r="AZ8" s="338">
        <f t="shared" si="21"/>
        <v>195329000000</v>
      </c>
      <c r="BA8" s="338">
        <f t="shared" si="22"/>
        <v>162867841808</v>
      </c>
      <c r="BB8" s="340">
        <f t="shared" si="23"/>
        <v>0.83381290954236187</v>
      </c>
      <c r="BC8" s="338">
        <f t="shared" si="24"/>
        <v>546013000000</v>
      </c>
      <c r="BD8" s="338">
        <f t="shared" si="24"/>
        <v>535973222450</v>
      </c>
      <c r="BE8" s="340">
        <f t="shared" si="25"/>
        <v>0.98161256682533204</v>
      </c>
      <c r="BF8" s="244">
        <f>(BD8/11*1.1+BD8)/D8</f>
        <v>0.96209292541612268</v>
      </c>
      <c r="BG8" s="39"/>
      <c r="BO8" s="525" t="s">
        <v>105</v>
      </c>
      <c r="BP8" s="526"/>
      <c r="BQ8" s="526"/>
      <c r="BR8" s="338">
        <f>SUM(BR3:BR7)</f>
        <v>597530000000</v>
      </c>
      <c r="BS8" s="338">
        <f>SUM(BS3:BS7)</f>
        <v>18160070000</v>
      </c>
      <c r="BT8" s="339">
        <f t="shared" ref="BT8:BT9" si="78">IFERROR(BS8/BR8,0%)</f>
        <v>3.0391896641172828E-2</v>
      </c>
      <c r="BU8" s="338">
        <f t="shared" ref="BU8:BV8" si="79">SUM(BU3:BU7)</f>
        <v>49836000000</v>
      </c>
      <c r="BV8" s="338">
        <f>SUM(BV3:BV7)</f>
        <v>18160070000</v>
      </c>
      <c r="BW8" s="340">
        <f>IFERROR(BV8/BU8,0%)</f>
        <v>0.36439662091660646</v>
      </c>
      <c r="BX8" s="338">
        <f t="shared" ref="BX8:BY8" si="80">SUM(BX3:BX7)</f>
        <v>30374000000</v>
      </c>
      <c r="BY8" s="338"/>
      <c r="BZ8" s="340">
        <f t="shared" si="28"/>
        <v>0</v>
      </c>
      <c r="CA8" s="338">
        <f t="shared" ref="CA8:CB8" si="81">SUM(CA3:CA7)</f>
        <v>38325000000</v>
      </c>
      <c r="CB8" s="338"/>
      <c r="CC8" s="340">
        <f t="shared" si="29"/>
        <v>0</v>
      </c>
      <c r="CD8" s="338">
        <f t="shared" ref="CD8:CE8" si="82">SUM(CD3:CD7)</f>
        <v>46834000000</v>
      </c>
      <c r="CE8" s="338"/>
      <c r="CF8" s="340">
        <f t="shared" si="56"/>
        <v>0</v>
      </c>
      <c r="CG8" s="338">
        <f>SUM(CG3:CG7)</f>
        <v>44543000000</v>
      </c>
      <c r="CH8" s="338"/>
      <c r="CI8" s="339">
        <f t="shared" si="30"/>
        <v>0</v>
      </c>
      <c r="CJ8" s="338">
        <f t="shared" ref="CJ8:CK8" si="83">SUM(CJ3:CJ7)</f>
        <v>49752000000</v>
      </c>
      <c r="CK8" s="338"/>
      <c r="CL8" s="340">
        <f t="shared" si="31"/>
        <v>0</v>
      </c>
      <c r="CM8" s="338">
        <f t="shared" ref="CM8:CN8" si="84">SUM(CM3:CM7)</f>
        <v>52134000000</v>
      </c>
      <c r="CN8" s="338"/>
      <c r="CO8" s="339">
        <f>IFERROR(CN8/CM8,0%)</f>
        <v>0</v>
      </c>
      <c r="CP8" s="338">
        <f>SUM(CP3:CP7)</f>
        <v>53950000000</v>
      </c>
      <c r="CQ8" s="338"/>
      <c r="CR8" s="339">
        <f t="shared" si="32"/>
        <v>0</v>
      </c>
      <c r="CS8" s="338">
        <f>SUM(CS3:CS7)</f>
        <v>50045000000</v>
      </c>
      <c r="CT8" s="338"/>
      <c r="CU8" s="339">
        <f t="shared" si="33"/>
        <v>0</v>
      </c>
      <c r="CV8" s="338">
        <f t="shared" ref="CV8:CW8" si="85">SUM(CV3:CV7)</f>
        <v>56808000000</v>
      </c>
      <c r="CW8" s="338"/>
      <c r="CX8" s="339">
        <f t="shared" si="34"/>
        <v>0</v>
      </c>
      <c r="CY8" s="338">
        <f t="shared" ref="CY8:CZ8" si="86">SUM(CY3:CY7)</f>
        <v>64232000000</v>
      </c>
      <c r="CZ8" s="338"/>
      <c r="DA8" s="339">
        <f t="shared" si="35"/>
        <v>0</v>
      </c>
      <c r="DB8" s="338">
        <f t="shared" ref="DB8:DC8" si="87">SUM(DB3:DB7)</f>
        <v>62689000000</v>
      </c>
      <c r="DC8" s="338"/>
      <c r="DD8" s="339">
        <f t="shared" si="36"/>
        <v>0</v>
      </c>
      <c r="DE8" s="338">
        <f>CA8+BX8+BU8</f>
        <v>118535000000</v>
      </c>
      <c r="DF8" s="338">
        <f>CB8+BY8+BV8</f>
        <v>18160070000</v>
      </c>
      <c r="DG8" s="340">
        <f t="shared" si="37"/>
        <v>0.15320428565402625</v>
      </c>
      <c r="DH8" s="338">
        <f>CD8+CG8+CJ8</f>
        <v>141129000000</v>
      </c>
      <c r="DI8" s="338">
        <f>CE8+CH8+CK8</f>
        <v>0</v>
      </c>
      <c r="DJ8" s="340">
        <f t="shared" si="40"/>
        <v>0</v>
      </c>
      <c r="DK8" s="338">
        <f>CM8+CP8+CS8</f>
        <v>156129000000</v>
      </c>
      <c r="DL8" s="338">
        <f>CN8+CQ8+CT8</f>
        <v>0</v>
      </c>
      <c r="DM8" s="340">
        <f t="shared" si="43"/>
        <v>0</v>
      </c>
      <c r="DN8" s="338">
        <f t="shared" si="44"/>
        <v>183729000000</v>
      </c>
      <c r="DO8" s="338">
        <f t="shared" si="45"/>
        <v>0</v>
      </c>
      <c r="DP8" s="340">
        <f t="shared" si="46"/>
        <v>0</v>
      </c>
      <c r="DQ8" s="338">
        <f t="shared" si="47"/>
        <v>536833000000</v>
      </c>
      <c r="DR8" s="338">
        <f t="shared" si="48"/>
        <v>18160070000</v>
      </c>
      <c r="DS8" s="340">
        <f t="shared" si="49"/>
        <v>3.3828155124591822E-2</v>
      </c>
      <c r="DT8" s="244">
        <f>(DR8/11*1.1+DR8)/BR8</f>
        <v>3.3431086305290111E-2</v>
      </c>
    </row>
    <row r="9" spans="1:124" ht="15">
      <c r="A9" s="497" t="s">
        <v>7</v>
      </c>
      <c r="B9" s="497" t="s">
        <v>38</v>
      </c>
      <c r="C9" s="355" t="s">
        <v>44</v>
      </c>
      <c r="D9" s="341">
        <f>G9+J9+M9+P9+S9+V9+Y9+AB9+AE9+AH9+AK9+AN9</f>
        <v>89000000000</v>
      </c>
      <c r="E9" s="341">
        <f>H9+K9+N9+Q9+T9+W9+Z9+AC9+AF9+AI9+AL9+AO9</f>
        <v>74546000000</v>
      </c>
      <c r="F9" s="342">
        <f t="shared" si="4"/>
        <v>0.83759550561797758</v>
      </c>
      <c r="G9" s="341">
        <v>7000000000</v>
      </c>
      <c r="H9" s="341">
        <v>4373000000</v>
      </c>
      <c r="I9" s="343">
        <f t="shared" si="5"/>
        <v>0.62471428571428567</v>
      </c>
      <c r="J9" s="341">
        <v>3500000000</v>
      </c>
      <c r="K9" s="341">
        <v>5543000000</v>
      </c>
      <c r="L9" s="343">
        <f t="shared" si="6"/>
        <v>1.5837142857142856</v>
      </c>
      <c r="M9" s="341">
        <v>7000000000</v>
      </c>
      <c r="N9" s="341">
        <v>6288000000</v>
      </c>
      <c r="O9" s="343">
        <f t="shared" si="7"/>
        <v>0.89828571428571424</v>
      </c>
      <c r="P9" s="341">
        <v>8000000000</v>
      </c>
      <c r="Q9" s="341">
        <v>6252000000</v>
      </c>
      <c r="R9" s="343">
        <f t="shared" si="51"/>
        <v>0.78149999999999997</v>
      </c>
      <c r="S9" s="341">
        <v>8121000000</v>
      </c>
      <c r="T9" s="341">
        <v>5873000000</v>
      </c>
      <c r="U9" s="342">
        <f t="shared" si="8"/>
        <v>0.72318679965521493</v>
      </c>
      <c r="V9" s="341">
        <v>8070000000</v>
      </c>
      <c r="W9" s="341">
        <v>6002000000</v>
      </c>
      <c r="X9" s="343">
        <f t="shared" si="9"/>
        <v>0.74374225526641879</v>
      </c>
      <c r="Y9" s="341">
        <v>8746000000</v>
      </c>
      <c r="Z9" s="341">
        <v>6642000000</v>
      </c>
      <c r="AA9" s="342">
        <f>IFERROR(Z9/Y9,0%)</f>
        <v>0.75943288360393324</v>
      </c>
      <c r="AB9" s="341">
        <v>7955000000</v>
      </c>
      <c r="AC9" s="341">
        <v>6371000000</v>
      </c>
      <c r="AD9" s="342">
        <f t="shared" si="10"/>
        <v>0.80087994971715903</v>
      </c>
      <c r="AE9" s="341">
        <v>7357000000</v>
      </c>
      <c r="AF9" s="341">
        <v>6100000000</v>
      </c>
      <c r="AG9" s="342">
        <f t="shared" si="11"/>
        <v>0.82914231344297951</v>
      </c>
      <c r="AH9" s="341">
        <v>7655000000</v>
      </c>
      <c r="AI9" s="341">
        <v>7069000000</v>
      </c>
      <c r="AJ9" s="342">
        <f t="shared" si="12"/>
        <v>0.92344872632266495</v>
      </c>
      <c r="AK9" s="344">
        <v>7952000000</v>
      </c>
      <c r="AL9" s="344">
        <v>6294000000</v>
      </c>
      <c r="AM9" s="342">
        <f t="shared" si="13"/>
        <v>0.79149899396378265</v>
      </c>
      <c r="AN9" s="344">
        <v>7644000000</v>
      </c>
      <c r="AO9" s="344">
        <f>AM46*10^6</f>
        <v>7739000000</v>
      </c>
      <c r="AP9" s="342">
        <f t="shared" si="14"/>
        <v>1.0124280481423338</v>
      </c>
      <c r="AQ9" s="341">
        <f>M9+J9+G9</f>
        <v>17500000000</v>
      </c>
      <c r="AR9" s="341">
        <f>N9+K9+H9</f>
        <v>16204000000</v>
      </c>
      <c r="AS9" s="343">
        <f t="shared" si="15"/>
        <v>0.92594285714285718</v>
      </c>
      <c r="AT9" s="341">
        <f t="shared" ref="AT9:AT39" si="88">P9+S9+V9</f>
        <v>24191000000</v>
      </c>
      <c r="AU9" s="341">
        <f t="shared" ref="AU9:AU39" si="89">Q9+T9+W9</f>
        <v>18127000000</v>
      </c>
      <c r="AV9" s="343">
        <f t="shared" si="17"/>
        <v>0.74932826257699148</v>
      </c>
      <c r="AW9" s="345">
        <f t="shared" si="18"/>
        <v>24058000000</v>
      </c>
      <c r="AX9" s="345">
        <f t="shared" ref="AX9:AX38" si="90">Z9+AC9+AF9</f>
        <v>19113000000</v>
      </c>
      <c r="AY9" s="343">
        <f t="shared" si="20"/>
        <v>0.79445506692160617</v>
      </c>
      <c r="AZ9" s="345">
        <f t="shared" si="21"/>
        <v>23251000000</v>
      </c>
      <c r="BA9" s="345">
        <f t="shared" si="22"/>
        <v>21102000000</v>
      </c>
      <c r="BB9" s="343">
        <f t="shared" si="23"/>
        <v>0.90757386779063265</v>
      </c>
      <c r="BC9" s="345">
        <f t="shared" ref="BC9:BC39" si="91">AW9+AT9+AQ9+AH9</f>
        <v>73404000000</v>
      </c>
      <c r="BD9" s="345">
        <f t="shared" ref="BD9:BD39" si="92">AX9+AU9+AR9+AI9+AL9</f>
        <v>66807000000</v>
      </c>
      <c r="BE9" s="343">
        <f t="shared" si="25"/>
        <v>0.91012751348700338</v>
      </c>
      <c r="BF9" s="244">
        <f t="shared" si="53"/>
        <v>0.82570449438202242</v>
      </c>
      <c r="BG9" s="39"/>
      <c r="BO9" s="497" t="s">
        <v>7</v>
      </c>
      <c r="BP9" s="497" t="s">
        <v>38</v>
      </c>
      <c r="BQ9" s="355" t="s">
        <v>44</v>
      </c>
      <c r="BR9" s="341">
        <f>BU9+BX9+CA9+CD9+CG9+CJ9+CM9+CP9+CS9+CV9+CY9+DB9</f>
        <v>87684000000</v>
      </c>
      <c r="BS9" s="341">
        <f>BV9+BY9+CB9+CE9+CH9+CK9+CN9+CQ9+CT9+CW9+CZ9+DC9</f>
        <v>2975000000</v>
      </c>
      <c r="BT9" s="342">
        <f t="shared" si="78"/>
        <v>3.3928652889922903E-2</v>
      </c>
      <c r="BU9" s="341">
        <v>5684000000</v>
      </c>
      <c r="BV9" s="341">
        <f>BZ48*10^6</f>
        <v>2975000000</v>
      </c>
      <c r="BW9" s="343">
        <f t="shared" ref="BW9:BW39" si="93">IFERROR(BV9/BU9,0%)</f>
        <v>0.52339901477832518</v>
      </c>
      <c r="BX9" s="341">
        <v>3500000000</v>
      </c>
      <c r="BY9" s="341"/>
      <c r="BZ9" s="343">
        <f t="shared" si="28"/>
        <v>0</v>
      </c>
      <c r="CA9" s="341">
        <v>7000000000</v>
      </c>
      <c r="CB9" s="341"/>
      <c r="CC9" s="343">
        <f t="shared" si="29"/>
        <v>0</v>
      </c>
      <c r="CD9" s="341">
        <v>8000000000</v>
      </c>
      <c r="CE9" s="341"/>
      <c r="CF9" s="343">
        <f t="shared" si="56"/>
        <v>0</v>
      </c>
      <c r="CG9" s="341">
        <v>8121000000</v>
      </c>
      <c r="CH9" s="341"/>
      <c r="CI9" s="342">
        <f t="shared" si="30"/>
        <v>0</v>
      </c>
      <c r="CJ9" s="341">
        <v>8070000000</v>
      </c>
      <c r="CK9" s="341"/>
      <c r="CL9" s="343">
        <f t="shared" si="31"/>
        <v>0</v>
      </c>
      <c r="CM9" s="341">
        <v>8746000000</v>
      </c>
      <c r="CN9" s="341"/>
      <c r="CO9" s="342">
        <f>IFERROR(CN9/CM9,0%)</f>
        <v>0</v>
      </c>
      <c r="CP9" s="341">
        <v>7955000000</v>
      </c>
      <c r="CQ9" s="341"/>
      <c r="CR9" s="342">
        <f t="shared" si="32"/>
        <v>0</v>
      </c>
      <c r="CS9" s="341">
        <v>7357000000</v>
      </c>
      <c r="CT9" s="341"/>
      <c r="CU9" s="342">
        <f t="shared" si="33"/>
        <v>0</v>
      </c>
      <c r="CV9" s="341">
        <v>7655000000</v>
      </c>
      <c r="CW9" s="341"/>
      <c r="CX9" s="342">
        <f t="shared" si="34"/>
        <v>0</v>
      </c>
      <c r="CY9" s="344">
        <v>7952000000</v>
      </c>
      <c r="CZ9" s="344"/>
      <c r="DA9" s="342">
        <f t="shared" si="35"/>
        <v>0</v>
      </c>
      <c r="DB9" s="344">
        <v>7644000000</v>
      </c>
      <c r="DC9" s="344"/>
      <c r="DD9" s="342">
        <f t="shared" si="36"/>
        <v>0</v>
      </c>
      <c r="DE9" s="341">
        <f>CA9+BX9+BU9</f>
        <v>16184000000</v>
      </c>
      <c r="DF9" s="341">
        <f>CB9+BY9+BV9</f>
        <v>2975000000</v>
      </c>
      <c r="DG9" s="343">
        <f t="shared" si="37"/>
        <v>0.18382352941176472</v>
      </c>
      <c r="DH9" s="341">
        <f t="shared" ref="DH9:DH39" si="94">CD9+CG9+CJ9</f>
        <v>24191000000</v>
      </c>
      <c r="DI9" s="341">
        <f t="shared" ref="DI9:DI39" si="95">CE9+CH9+CK9</f>
        <v>0</v>
      </c>
      <c r="DJ9" s="343">
        <f t="shared" si="40"/>
        <v>0</v>
      </c>
      <c r="DK9" s="345">
        <f t="shared" ref="DK9:DK39" si="96">CM9+CP9+CS9</f>
        <v>24058000000</v>
      </c>
      <c r="DL9" s="345">
        <f t="shared" ref="DL9:DL39" si="97">CN9+CQ9+CT9</f>
        <v>0</v>
      </c>
      <c r="DM9" s="343">
        <f t="shared" si="43"/>
        <v>0</v>
      </c>
      <c r="DN9" s="345">
        <f t="shared" si="44"/>
        <v>23251000000</v>
      </c>
      <c r="DO9" s="345">
        <f t="shared" si="45"/>
        <v>0</v>
      </c>
      <c r="DP9" s="343">
        <f t="shared" si="46"/>
        <v>0</v>
      </c>
      <c r="DQ9" s="345">
        <f t="shared" ref="DQ9:DQ39" si="98">DK9+DH9+DE9+CV9</f>
        <v>72088000000</v>
      </c>
      <c r="DR9" s="345">
        <f t="shared" si="48"/>
        <v>2975000000</v>
      </c>
      <c r="DS9" s="343">
        <f t="shared" si="49"/>
        <v>4.1269004549994451E-2</v>
      </c>
      <c r="DT9" s="244">
        <f t="shared" ref="DT9:DT19" si="99">(DR9/11*1.1+DR9)/BR9</f>
        <v>3.7321518178915193E-2</v>
      </c>
    </row>
    <row r="10" spans="1:124" ht="15">
      <c r="A10" s="497"/>
      <c r="B10" s="497"/>
      <c r="C10" s="355" t="s">
        <v>39</v>
      </c>
      <c r="D10" s="341">
        <f t="shared" ref="D10:D13" si="100">G10+J10+M10+P10+S10+V10+Y10+AB10+AE10+AH10+AK10+AN10</f>
        <v>38000000000</v>
      </c>
      <c r="E10" s="341">
        <f t="shared" ref="E10:E13" si="101">H10+K10+N10+Q10+T10+W10+Z10+AC10+AF10+AI10+AL10+AO10</f>
        <v>43548477698</v>
      </c>
      <c r="F10" s="342">
        <f>IFERROR(E10/D10,0%)</f>
        <v>1.146012571</v>
      </c>
      <c r="G10" s="341">
        <v>1270000000</v>
      </c>
      <c r="H10" s="341">
        <f>B63</f>
        <v>961703500</v>
      </c>
      <c r="I10" s="343">
        <f t="shared" si="5"/>
        <v>0.75724685039370077</v>
      </c>
      <c r="J10" s="341">
        <v>662000000</v>
      </c>
      <c r="K10" s="341">
        <f>C63</f>
        <v>807580100</v>
      </c>
      <c r="L10" s="343">
        <f t="shared" si="6"/>
        <v>1.2199095166163143</v>
      </c>
      <c r="M10" s="341">
        <v>860000000</v>
      </c>
      <c r="N10" s="341">
        <f>D63</f>
        <v>2554885700</v>
      </c>
      <c r="O10" s="343">
        <f t="shared" si="7"/>
        <v>2.9707973255813953</v>
      </c>
      <c r="P10" s="341">
        <v>1792000000</v>
      </c>
      <c r="Q10" s="341">
        <f>E63</f>
        <v>5404066350</v>
      </c>
      <c r="R10" s="343">
        <f t="shared" si="51"/>
        <v>3.0156620256696427</v>
      </c>
      <c r="S10" s="341">
        <v>2842000000</v>
      </c>
      <c r="T10" s="341">
        <f>F63</f>
        <v>6348545870</v>
      </c>
      <c r="U10" s="342">
        <f t="shared" si="8"/>
        <v>2.2338303553835326</v>
      </c>
      <c r="V10" s="341">
        <v>5112000000</v>
      </c>
      <c r="W10" s="341">
        <f>G63</f>
        <v>4193064828</v>
      </c>
      <c r="X10" s="343">
        <f t="shared" si="9"/>
        <v>0.82023959859154927</v>
      </c>
      <c r="Y10" s="341">
        <v>2392000000</v>
      </c>
      <c r="Z10" s="341">
        <f>H63</f>
        <v>2992031050</v>
      </c>
      <c r="AA10" s="342">
        <f>IFERROR(Z10/Y10,0%)</f>
        <v>1.2508491011705685</v>
      </c>
      <c r="AB10" s="341">
        <v>4417000000</v>
      </c>
      <c r="AC10" s="341">
        <f>I63</f>
        <v>5438470170</v>
      </c>
      <c r="AD10" s="342">
        <f t="shared" si="10"/>
        <v>1.2312588114104597</v>
      </c>
      <c r="AE10" s="341">
        <v>2582000000</v>
      </c>
      <c r="AF10" s="341">
        <f>J63</f>
        <v>2772382985</v>
      </c>
      <c r="AG10" s="342">
        <f t="shared" si="11"/>
        <v>1.0737346959721146</v>
      </c>
      <c r="AH10" s="341">
        <v>3822000000</v>
      </c>
      <c r="AI10" s="341">
        <f>K63</f>
        <v>6309816145</v>
      </c>
      <c r="AJ10" s="342">
        <f t="shared" si="12"/>
        <v>1.6509199751439037</v>
      </c>
      <c r="AK10" s="344">
        <v>5652000000</v>
      </c>
      <c r="AL10" s="344">
        <f>L63</f>
        <v>3618531050</v>
      </c>
      <c r="AM10" s="342">
        <f t="shared" si="13"/>
        <v>0.64022134642604389</v>
      </c>
      <c r="AN10" s="344">
        <v>6597000000</v>
      </c>
      <c r="AO10" s="344">
        <f>M63</f>
        <v>2147399950</v>
      </c>
      <c r="AP10" s="342">
        <f t="shared" si="14"/>
        <v>0.3255115886008792</v>
      </c>
      <c r="AQ10" s="341">
        <f>M10+J10+G10</f>
        <v>2792000000</v>
      </c>
      <c r="AR10" s="341">
        <f>N10+K10+H10</f>
        <v>4324169300</v>
      </c>
      <c r="AS10" s="343">
        <f t="shared" si="15"/>
        <v>1.5487712392550144</v>
      </c>
      <c r="AT10" s="341">
        <f t="shared" si="88"/>
        <v>9746000000</v>
      </c>
      <c r="AU10" s="341">
        <f t="shared" si="89"/>
        <v>15945677048</v>
      </c>
      <c r="AV10" s="343">
        <f t="shared" si="17"/>
        <v>1.6361252870921403</v>
      </c>
      <c r="AW10" s="341">
        <f t="shared" si="18"/>
        <v>9391000000</v>
      </c>
      <c r="AX10" s="341">
        <f t="shared" si="90"/>
        <v>11202884205</v>
      </c>
      <c r="AY10" s="343">
        <f t="shared" si="20"/>
        <v>1.1929383670535618</v>
      </c>
      <c r="AZ10" s="341">
        <f t="shared" si="21"/>
        <v>16071000000</v>
      </c>
      <c r="BA10" s="341">
        <f t="shared" si="22"/>
        <v>12075747145</v>
      </c>
      <c r="BB10" s="343">
        <f t="shared" si="23"/>
        <v>0.75139985968514711</v>
      </c>
      <c r="BC10" s="341">
        <f t="shared" si="91"/>
        <v>25751000000</v>
      </c>
      <c r="BD10" s="341">
        <f t="shared" si="92"/>
        <v>41401077748</v>
      </c>
      <c r="BE10" s="343">
        <f t="shared" si="25"/>
        <v>1.6077464078288222</v>
      </c>
      <c r="BF10" s="244">
        <f t="shared" si="53"/>
        <v>1.1984522506000002</v>
      </c>
      <c r="BG10" s="39"/>
      <c r="BO10" s="497"/>
      <c r="BP10" s="497"/>
      <c r="BQ10" s="355" t="s">
        <v>39</v>
      </c>
      <c r="BR10" s="341">
        <f t="shared" ref="BR10:BR13" si="102">BU10+BX10+CA10+CD10+CG10+CJ10+CM10+CP10+CS10+CV10+CY10+DB10</f>
        <v>37870000000</v>
      </c>
      <c r="BS10" s="341">
        <f t="shared" ref="BS10:BS13" si="103">BV10+BY10+CB10+CE10+CH10+CK10+CN10+CQ10+CT10+CW10+CZ10+DC10</f>
        <v>330000000</v>
      </c>
      <c r="BT10" s="342">
        <f>IFERROR(BS10/BR10,0%)</f>
        <v>8.7140216530235022E-3</v>
      </c>
      <c r="BU10" s="341">
        <v>1140000000</v>
      </c>
      <c r="BV10" s="341">
        <f>BZ44*10^6</f>
        <v>330000000</v>
      </c>
      <c r="BW10" s="343">
        <f t="shared" si="93"/>
        <v>0.28947368421052633</v>
      </c>
      <c r="BX10" s="341">
        <v>662000000</v>
      </c>
      <c r="BY10" s="341"/>
      <c r="BZ10" s="343">
        <f t="shared" si="28"/>
        <v>0</v>
      </c>
      <c r="CA10" s="341">
        <v>860000000</v>
      </c>
      <c r="CB10" s="341"/>
      <c r="CC10" s="343">
        <f t="shared" si="29"/>
        <v>0</v>
      </c>
      <c r="CD10" s="341">
        <v>1792000000</v>
      </c>
      <c r="CE10" s="341"/>
      <c r="CF10" s="343">
        <f t="shared" si="56"/>
        <v>0</v>
      </c>
      <c r="CG10" s="341">
        <v>2842000000</v>
      </c>
      <c r="CH10" s="341"/>
      <c r="CI10" s="342">
        <f t="shared" si="30"/>
        <v>0</v>
      </c>
      <c r="CJ10" s="341">
        <v>5112000000</v>
      </c>
      <c r="CK10" s="341"/>
      <c r="CL10" s="343">
        <f t="shared" si="31"/>
        <v>0</v>
      </c>
      <c r="CM10" s="341">
        <v>2392000000</v>
      </c>
      <c r="CN10" s="341"/>
      <c r="CO10" s="342">
        <f>IFERROR(CN10/CM10,0%)</f>
        <v>0</v>
      </c>
      <c r="CP10" s="341">
        <v>4417000000</v>
      </c>
      <c r="CQ10" s="341"/>
      <c r="CR10" s="342">
        <f t="shared" si="32"/>
        <v>0</v>
      </c>
      <c r="CS10" s="341">
        <v>2582000000</v>
      </c>
      <c r="CT10" s="341"/>
      <c r="CU10" s="342">
        <f t="shared" si="33"/>
        <v>0</v>
      </c>
      <c r="CV10" s="341">
        <v>3822000000</v>
      </c>
      <c r="CW10" s="341"/>
      <c r="CX10" s="342">
        <f t="shared" si="34"/>
        <v>0</v>
      </c>
      <c r="CY10" s="344">
        <v>5652000000</v>
      </c>
      <c r="CZ10" s="344"/>
      <c r="DA10" s="342">
        <f t="shared" si="35"/>
        <v>0</v>
      </c>
      <c r="DB10" s="344">
        <v>6597000000</v>
      </c>
      <c r="DC10" s="344"/>
      <c r="DD10" s="342">
        <f t="shared" si="36"/>
        <v>0</v>
      </c>
      <c r="DE10" s="341">
        <f>CA10+BX10+BU10</f>
        <v>2662000000</v>
      </c>
      <c r="DF10" s="341">
        <f>CB10+BY10+BV10</f>
        <v>330000000</v>
      </c>
      <c r="DG10" s="343">
        <f t="shared" si="37"/>
        <v>0.12396694214876033</v>
      </c>
      <c r="DH10" s="341">
        <f t="shared" si="94"/>
        <v>9746000000</v>
      </c>
      <c r="DI10" s="341">
        <f t="shared" si="95"/>
        <v>0</v>
      </c>
      <c r="DJ10" s="343">
        <f t="shared" si="40"/>
        <v>0</v>
      </c>
      <c r="DK10" s="341">
        <f t="shared" si="96"/>
        <v>9391000000</v>
      </c>
      <c r="DL10" s="341">
        <f t="shared" si="97"/>
        <v>0</v>
      </c>
      <c r="DM10" s="343">
        <f t="shared" si="43"/>
        <v>0</v>
      </c>
      <c r="DN10" s="341">
        <f t="shared" si="44"/>
        <v>16071000000</v>
      </c>
      <c r="DO10" s="341">
        <f t="shared" si="45"/>
        <v>0</v>
      </c>
      <c r="DP10" s="343">
        <f t="shared" si="46"/>
        <v>0</v>
      </c>
      <c r="DQ10" s="341">
        <f t="shared" si="98"/>
        <v>25621000000</v>
      </c>
      <c r="DR10" s="341">
        <f t="shared" si="48"/>
        <v>330000000</v>
      </c>
      <c r="DS10" s="343">
        <f t="shared" si="49"/>
        <v>1.2880059326333867E-2</v>
      </c>
      <c r="DT10" s="244">
        <f t="shared" si="99"/>
        <v>9.5854238183258524E-3</v>
      </c>
    </row>
    <row r="11" spans="1:124" ht="15">
      <c r="A11" s="497"/>
      <c r="B11" s="498"/>
      <c r="C11" s="355" t="s">
        <v>40</v>
      </c>
      <c r="D11" s="341">
        <f t="shared" si="100"/>
        <v>140000000000</v>
      </c>
      <c r="E11" s="341">
        <f t="shared" si="101"/>
        <v>93108261443</v>
      </c>
      <c r="F11" s="342">
        <f t="shared" si="4"/>
        <v>0.66505901030714287</v>
      </c>
      <c r="G11" s="341">
        <v>7720000000</v>
      </c>
      <c r="H11" s="341">
        <f>B44</f>
        <v>7201457102</v>
      </c>
      <c r="I11" s="343">
        <f t="shared" si="5"/>
        <v>0.93283123082901553</v>
      </c>
      <c r="J11" s="341">
        <v>7720000000</v>
      </c>
      <c r="K11" s="341">
        <f>C44</f>
        <v>6988329399</v>
      </c>
      <c r="L11" s="343">
        <f t="shared" si="6"/>
        <v>0.90522401541450781</v>
      </c>
      <c r="M11" s="341">
        <v>8060000000</v>
      </c>
      <c r="N11" s="341">
        <f>D44</f>
        <v>12002117506</v>
      </c>
      <c r="O11" s="343">
        <f t="shared" si="7"/>
        <v>1.4890964647642679</v>
      </c>
      <c r="P11" s="341">
        <v>9734000000</v>
      </c>
      <c r="Q11" s="341">
        <f>E44</f>
        <v>10093572063</v>
      </c>
      <c r="R11" s="343">
        <f t="shared" si="51"/>
        <v>1.0369398051160879</v>
      </c>
      <c r="S11" s="341">
        <v>10432000000</v>
      </c>
      <c r="T11" s="341">
        <f>F44</f>
        <v>7772872873</v>
      </c>
      <c r="U11" s="342">
        <f t="shared" si="8"/>
        <v>0.74509901006518409</v>
      </c>
      <c r="V11" s="341">
        <v>11590000000</v>
      </c>
      <c r="W11" s="341">
        <f>G44</f>
        <v>7482600414</v>
      </c>
      <c r="X11" s="343">
        <f t="shared" si="9"/>
        <v>0.64560831872303714</v>
      </c>
      <c r="Y11" s="341">
        <v>12128000000</v>
      </c>
      <c r="Z11" s="341">
        <f>H44</f>
        <v>7274758606</v>
      </c>
      <c r="AA11" s="342">
        <f>IFERROR(Z11/Y11,0%)</f>
        <v>0.59983167925461744</v>
      </c>
      <c r="AB11" s="341">
        <v>13136000000</v>
      </c>
      <c r="AC11" s="341">
        <f>I44</f>
        <v>7931216351</v>
      </c>
      <c r="AD11" s="342">
        <f t="shared" si="10"/>
        <v>0.60377712781668702</v>
      </c>
      <c r="AE11" s="341">
        <v>13574000000</v>
      </c>
      <c r="AF11" s="341">
        <f>J44</f>
        <v>6644704920</v>
      </c>
      <c r="AG11" s="342">
        <f t="shared" si="11"/>
        <v>0.48951708560483276</v>
      </c>
      <c r="AH11" s="341">
        <v>14506000000</v>
      </c>
      <c r="AI11" s="341">
        <f>K44</f>
        <v>7186634421</v>
      </c>
      <c r="AJ11" s="342">
        <f t="shared" si="12"/>
        <v>0.49542495663863229</v>
      </c>
      <c r="AK11" s="344">
        <v>15700000000</v>
      </c>
      <c r="AL11" s="344">
        <f>L44</f>
        <v>6592619793</v>
      </c>
      <c r="AM11" s="342">
        <f t="shared" si="13"/>
        <v>0.41991208872611463</v>
      </c>
      <c r="AN11" s="344">
        <v>15700000000</v>
      </c>
      <c r="AO11" s="344">
        <f>M44</f>
        <v>5937377995</v>
      </c>
      <c r="AP11" s="342">
        <f t="shared" si="14"/>
        <v>0.37817694235668792</v>
      </c>
      <c r="AQ11" s="341">
        <f>M11+J11+G11</f>
        <v>23500000000</v>
      </c>
      <c r="AR11" s="341">
        <f>N11+K11+H11</f>
        <v>26191904007</v>
      </c>
      <c r="AS11" s="343">
        <f t="shared" si="15"/>
        <v>1.1145491066808511</v>
      </c>
      <c r="AT11" s="341">
        <f t="shared" si="88"/>
        <v>31756000000</v>
      </c>
      <c r="AU11" s="341">
        <f t="shared" si="89"/>
        <v>25349045350</v>
      </c>
      <c r="AV11" s="343">
        <f t="shared" si="17"/>
        <v>0.79824427982113622</v>
      </c>
      <c r="AW11" s="341">
        <f t="shared" ref="AW11:AW12" si="104">Y11+AB11+AE11</f>
        <v>38838000000</v>
      </c>
      <c r="AX11" s="341">
        <f t="shared" ref="AX11:AX12" si="105">Z11+AC11+AF11</f>
        <v>21850679877</v>
      </c>
      <c r="AY11" s="343">
        <f t="shared" si="20"/>
        <v>0.56261084188166233</v>
      </c>
      <c r="AZ11" s="341">
        <f t="shared" si="21"/>
        <v>45906000000</v>
      </c>
      <c r="BA11" s="341">
        <f t="shared" si="22"/>
        <v>19716632209</v>
      </c>
      <c r="BB11" s="343">
        <f t="shared" si="23"/>
        <v>0.42950011347100597</v>
      </c>
      <c r="BC11" s="341">
        <f t="shared" si="91"/>
        <v>108600000000</v>
      </c>
      <c r="BD11" s="341">
        <f t="shared" si="92"/>
        <v>87170883448</v>
      </c>
      <c r="BE11" s="343">
        <f t="shared" si="25"/>
        <v>0.80267848478821358</v>
      </c>
      <c r="BF11" s="244">
        <f t="shared" si="53"/>
        <v>0.68491408423428579</v>
      </c>
      <c r="BG11" s="39"/>
      <c r="BO11" s="497"/>
      <c r="BP11" s="498"/>
      <c r="BQ11" s="355" t="s">
        <v>40</v>
      </c>
      <c r="BR11" s="341">
        <f t="shared" si="102"/>
        <v>142500000000</v>
      </c>
      <c r="BS11" s="341">
        <f t="shared" si="103"/>
        <v>2921000000</v>
      </c>
      <c r="BT11" s="342">
        <f t="shared" ref="BT11:BT39" si="106">IFERROR(BS11/BR11,0%)</f>
        <v>2.0498245614035088E-2</v>
      </c>
      <c r="BU11" s="341">
        <v>10220000000</v>
      </c>
      <c r="BV11" s="341">
        <f>BZ45*10^6</f>
        <v>2921000000</v>
      </c>
      <c r="BW11" s="343">
        <f t="shared" si="93"/>
        <v>0.28581213307240705</v>
      </c>
      <c r="BX11" s="341">
        <v>7720000000</v>
      </c>
      <c r="BY11" s="341"/>
      <c r="BZ11" s="343">
        <f t="shared" si="28"/>
        <v>0</v>
      </c>
      <c r="CA11" s="341">
        <v>8060000000</v>
      </c>
      <c r="CB11" s="341"/>
      <c r="CC11" s="343">
        <f t="shared" si="29"/>
        <v>0</v>
      </c>
      <c r="CD11" s="341">
        <v>9734000000</v>
      </c>
      <c r="CE11" s="341"/>
      <c r="CF11" s="343">
        <f t="shared" si="56"/>
        <v>0</v>
      </c>
      <c r="CG11" s="341">
        <v>10432000000</v>
      </c>
      <c r="CH11" s="341"/>
      <c r="CI11" s="342">
        <f t="shared" si="30"/>
        <v>0</v>
      </c>
      <c r="CJ11" s="341">
        <v>11590000000</v>
      </c>
      <c r="CK11" s="341"/>
      <c r="CL11" s="343">
        <f t="shared" si="31"/>
        <v>0</v>
      </c>
      <c r="CM11" s="341">
        <v>12128000000</v>
      </c>
      <c r="CN11" s="341"/>
      <c r="CO11" s="342">
        <f>IFERROR(CN11/CM11,0%)</f>
        <v>0</v>
      </c>
      <c r="CP11" s="341">
        <v>13136000000</v>
      </c>
      <c r="CQ11" s="341"/>
      <c r="CR11" s="342">
        <f t="shared" si="32"/>
        <v>0</v>
      </c>
      <c r="CS11" s="341">
        <v>13574000000</v>
      </c>
      <c r="CT11" s="341"/>
      <c r="CU11" s="342">
        <f t="shared" si="33"/>
        <v>0</v>
      </c>
      <c r="CV11" s="341">
        <v>14506000000</v>
      </c>
      <c r="CW11" s="341"/>
      <c r="CX11" s="342">
        <f t="shared" si="34"/>
        <v>0</v>
      </c>
      <c r="CY11" s="344">
        <v>15700000000</v>
      </c>
      <c r="CZ11" s="344"/>
      <c r="DA11" s="342">
        <f t="shared" si="35"/>
        <v>0</v>
      </c>
      <c r="DB11" s="344">
        <v>15700000000</v>
      </c>
      <c r="DC11" s="344"/>
      <c r="DD11" s="342">
        <f t="shared" si="36"/>
        <v>0</v>
      </c>
      <c r="DE11" s="341">
        <f>CA11+BX11+BU11</f>
        <v>26000000000</v>
      </c>
      <c r="DF11" s="341">
        <f>CB11+BY11+BV11</f>
        <v>2921000000</v>
      </c>
      <c r="DG11" s="343">
        <f t="shared" si="37"/>
        <v>0.11234615384615385</v>
      </c>
      <c r="DH11" s="341">
        <f t="shared" si="94"/>
        <v>31756000000</v>
      </c>
      <c r="DI11" s="341">
        <f t="shared" si="95"/>
        <v>0</v>
      </c>
      <c r="DJ11" s="343">
        <f t="shared" si="40"/>
        <v>0</v>
      </c>
      <c r="DK11" s="341">
        <f t="shared" si="96"/>
        <v>38838000000</v>
      </c>
      <c r="DL11" s="341">
        <f t="shared" si="97"/>
        <v>0</v>
      </c>
      <c r="DM11" s="343">
        <f t="shared" si="43"/>
        <v>0</v>
      </c>
      <c r="DN11" s="341">
        <f t="shared" si="44"/>
        <v>45906000000</v>
      </c>
      <c r="DO11" s="341">
        <f t="shared" si="45"/>
        <v>0</v>
      </c>
      <c r="DP11" s="343">
        <f t="shared" si="46"/>
        <v>0</v>
      </c>
      <c r="DQ11" s="341">
        <f t="shared" si="98"/>
        <v>111100000000</v>
      </c>
      <c r="DR11" s="341">
        <f t="shared" si="48"/>
        <v>2921000000</v>
      </c>
      <c r="DS11" s="343">
        <f t="shared" si="49"/>
        <v>2.6291629162916292E-2</v>
      </c>
      <c r="DT11" s="244">
        <f t="shared" si="99"/>
        <v>2.2548070175438598E-2</v>
      </c>
    </row>
    <row r="12" spans="1:124" ht="15">
      <c r="A12" s="497"/>
      <c r="B12" s="497" t="s">
        <v>41</v>
      </c>
      <c r="C12" s="355" t="s">
        <v>103</v>
      </c>
      <c r="D12" s="341">
        <f t="shared" si="100"/>
        <v>25000000000</v>
      </c>
      <c r="E12" s="341">
        <f t="shared" si="101"/>
        <v>0</v>
      </c>
      <c r="F12" s="342">
        <f t="shared" si="4"/>
        <v>0</v>
      </c>
      <c r="G12" s="341">
        <v>1200000000</v>
      </c>
      <c r="H12" s="341">
        <f>B70</f>
        <v>0</v>
      </c>
      <c r="I12" s="343">
        <f t="shared" si="5"/>
        <v>0</v>
      </c>
      <c r="J12" s="341">
        <v>700000000</v>
      </c>
      <c r="K12" s="341">
        <f>C70</f>
        <v>0</v>
      </c>
      <c r="L12" s="343">
        <f t="shared" si="6"/>
        <v>0</v>
      </c>
      <c r="M12" s="341">
        <v>1800000000</v>
      </c>
      <c r="N12" s="341">
        <f>D70</f>
        <v>0</v>
      </c>
      <c r="O12" s="343">
        <f t="shared" si="7"/>
        <v>0</v>
      </c>
      <c r="P12" s="341">
        <v>2650000000</v>
      </c>
      <c r="Q12" s="341">
        <f>E70</f>
        <v>0</v>
      </c>
      <c r="R12" s="343">
        <f t="shared" si="51"/>
        <v>0</v>
      </c>
      <c r="S12" s="341">
        <v>1850000000</v>
      </c>
      <c r="T12" s="341">
        <f>F70</f>
        <v>0</v>
      </c>
      <c r="U12" s="342">
        <f t="shared" si="8"/>
        <v>0</v>
      </c>
      <c r="V12" s="341">
        <v>2250000000</v>
      </c>
      <c r="W12" s="341">
        <f>G70</f>
        <v>0</v>
      </c>
      <c r="X12" s="343">
        <f t="shared" si="9"/>
        <v>0</v>
      </c>
      <c r="Y12" s="341">
        <v>2550000000</v>
      </c>
      <c r="Z12" s="341">
        <f>H70</f>
        <v>0</v>
      </c>
      <c r="AA12" s="342">
        <f>IFERROR(Z12/Y12,0%)</f>
        <v>0</v>
      </c>
      <c r="AB12" s="341">
        <v>2650000000</v>
      </c>
      <c r="AC12" s="341">
        <f>I70</f>
        <v>0</v>
      </c>
      <c r="AD12" s="342">
        <f t="shared" si="10"/>
        <v>0</v>
      </c>
      <c r="AE12" s="341">
        <v>2450000000</v>
      </c>
      <c r="AF12" s="341">
        <f>J70</f>
        <v>0</v>
      </c>
      <c r="AG12" s="342">
        <f t="shared" si="11"/>
        <v>0</v>
      </c>
      <c r="AH12" s="341">
        <v>2300000000</v>
      </c>
      <c r="AI12" s="341">
        <f>K70</f>
        <v>0</v>
      </c>
      <c r="AJ12" s="342">
        <f t="shared" si="12"/>
        <v>0</v>
      </c>
      <c r="AK12" s="344">
        <v>2300000000</v>
      </c>
      <c r="AL12" s="344">
        <f>L70</f>
        <v>0</v>
      </c>
      <c r="AM12" s="342">
        <f t="shared" si="13"/>
        <v>0</v>
      </c>
      <c r="AN12" s="344">
        <v>2300000000</v>
      </c>
      <c r="AO12" s="344"/>
      <c r="AP12" s="342">
        <f t="shared" si="14"/>
        <v>0</v>
      </c>
      <c r="AQ12" s="341">
        <f>M12+J12+G12</f>
        <v>3700000000</v>
      </c>
      <c r="AR12" s="341">
        <f>N12+K12+H12</f>
        <v>0</v>
      </c>
      <c r="AS12" s="343">
        <f t="shared" si="15"/>
        <v>0</v>
      </c>
      <c r="AT12" s="341">
        <f>P12+S12+V12</f>
        <v>6750000000</v>
      </c>
      <c r="AU12" s="341">
        <f>S13+T12+W12</f>
        <v>2350000000</v>
      </c>
      <c r="AV12" s="343">
        <f t="shared" si="17"/>
        <v>0.34814814814814815</v>
      </c>
      <c r="AW12" s="341">
        <f t="shared" si="104"/>
        <v>7650000000</v>
      </c>
      <c r="AX12" s="341">
        <f t="shared" si="105"/>
        <v>0</v>
      </c>
      <c r="AY12" s="343">
        <f t="shared" si="20"/>
        <v>0</v>
      </c>
      <c r="AZ12" s="345">
        <f t="shared" si="21"/>
        <v>6900000000</v>
      </c>
      <c r="BA12" s="346">
        <f t="shared" si="22"/>
        <v>0</v>
      </c>
      <c r="BB12" s="343">
        <f t="shared" si="23"/>
        <v>0</v>
      </c>
      <c r="BC12" s="341">
        <f t="shared" si="91"/>
        <v>20400000000</v>
      </c>
      <c r="BD12" s="341">
        <f t="shared" si="92"/>
        <v>2350000000</v>
      </c>
      <c r="BE12" s="343">
        <f t="shared" si="25"/>
        <v>0.11519607843137254</v>
      </c>
      <c r="BF12" s="244">
        <f t="shared" si="53"/>
        <v>0.10340000000000001</v>
      </c>
      <c r="BO12" s="497"/>
      <c r="BP12" s="497" t="s">
        <v>41</v>
      </c>
      <c r="BQ12" s="355" t="s">
        <v>103</v>
      </c>
      <c r="BR12" s="341">
        <f t="shared" si="102"/>
        <v>25263000000</v>
      </c>
      <c r="BS12" s="341">
        <f t="shared" si="103"/>
        <v>1173000000</v>
      </c>
      <c r="BT12" s="342">
        <f t="shared" si="106"/>
        <v>4.6431540197126232E-2</v>
      </c>
      <c r="BU12" s="341">
        <v>1463000000</v>
      </c>
      <c r="BV12" s="341">
        <f>BZ47*10^6</f>
        <v>1173000000</v>
      </c>
      <c r="BW12" s="343">
        <f t="shared" si="93"/>
        <v>0.80177717019822281</v>
      </c>
      <c r="BX12" s="341">
        <v>700000000</v>
      </c>
      <c r="BY12" s="341"/>
      <c r="BZ12" s="343">
        <f t="shared" si="28"/>
        <v>0</v>
      </c>
      <c r="CA12" s="341">
        <v>1800000000</v>
      </c>
      <c r="CB12" s="341"/>
      <c r="CC12" s="343">
        <f t="shared" si="29"/>
        <v>0</v>
      </c>
      <c r="CD12" s="341">
        <v>2650000000</v>
      </c>
      <c r="CE12" s="341"/>
      <c r="CF12" s="343">
        <f t="shared" si="56"/>
        <v>0</v>
      </c>
      <c r="CG12" s="341">
        <v>1850000000</v>
      </c>
      <c r="CH12" s="341"/>
      <c r="CI12" s="342">
        <f t="shared" si="30"/>
        <v>0</v>
      </c>
      <c r="CJ12" s="341">
        <v>2250000000</v>
      </c>
      <c r="CK12" s="341"/>
      <c r="CL12" s="343">
        <f t="shared" si="31"/>
        <v>0</v>
      </c>
      <c r="CM12" s="341">
        <v>2550000000</v>
      </c>
      <c r="CN12" s="341"/>
      <c r="CO12" s="342">
        <f>IFERROR(CN12/CM12,0%)</f>
        <v>0</v>
      </c>
      <c r="CP12" s="341">
        <v>2650000000</v>
      </c>
      <c r="CQ12" s="341"/>
      <c r="CR12" s="342">
        <f t="shared" si="32"/>
        <v>0</v>
      </c>
      <c r="CS12" s="341">
        <v>2450000000</v>
      </c>
      <c r="CT12" s="341"/>
      <c r="CU12" s="342">
        <f t="shared" si="33"/>
        <v>0</v>
      </c>
      <c r="CV12" s="341">
        <v>2300000000</v>
      </c>
      <c r="CW12" s="341"/>
      <c r="CX12" s="342">
        <f t="shared" si="34"/>
        <v>0</v>
      </c>
      <c r="CY12" s="344">
        <v>2300000000</v>
      </c>
      <c r="CZ12" s="344"/>
      <c r="DA12" s="342">
        <f t="shared" si="35"/>
        <v>0</v>
      </c>
      <c r="DB12" s="344">
        <v>2300000000</v>
      </c>
      <c r="DC12" s="344"/>
      <c r="DD12" s="342">
        <f t="shared" si="36"/>
        <v>0</v>
      </c>
      <c r="DE12" s="341">
        <f>CA12+BX12+BU12</f>
        <v>3963000000</v>
      </c>
      <c r="DF12" s="341">
        <f>CB12+BY12+BV12</f>
        <v>1173000000</v>
      </c>
      <c r="DG12" s="343">
        <f t="shared" si="37"/>
        <v>0.29598788796366388</v>
      </c>
      <c r="DH12" s="341">
        <f>CD12+CG12+CJ12</f>
        <v>6750000000</v>
      </c>
      <c r="DI12" s="341">
        <f>CE12+CH12+CK12</f>
        <v>0</v>
      </c>
      <c r="DJ12" s="343">
        <f t="shared" si="40"/>
        <v>0</v>
      </c>
      <c r="DK12" s="341">
        <f t="shared" si="96"/>
        <v>7650000000</v>
      </c>
      <c r="DL12" s="341">
        <f t="shared" si="97"/>
        <v>0</v>
      </c>
      <c r="DM12" s="343">
        <f t="shared" si="43"/>
        <v>0</v>
      </c>
      <c r="DN12" s="345">
        <f t="shared" si="44"/>
        <v>6900000000</v>
      </c>
      <c r="DO12" s="346">
        <f t="shared" si="45"/>
        <v>0</v>
      </c>
      <c r="DP12" s="343">
        <f t="shared" si="46"/>
        <v>0</v>
      </c>
      <c r="DQ12" s="341">
        <f t="shared" si="98"/>
        <v>20663000000</v>
      </c>
      <c r="DR12" s="341">
        <f t="shared" si="48"/>
        <v>1173000000</v>
      </c>
      <c r="DS12" s="343">
        <f t="shared" si="49"/>
        <v>5.6768136282243621E-2</v>
      </c>
      <c r="DT12" s="244">
        <f t="shared" si="99"/>
        <v>5.1074694216838856E-2</v>
      </c>
    </row>
    <row r="13" spans="1:124" ht="15">
      <c r="A13" s="498"/>
      <c r="B13" s="498"/>
      <c r="C13" s="355" t="s">
        <v>104</v>
      </c>
      <c r="D13" s="341">
        <f t="shared" si="100"/>
        <v>38000000000</v>
      </c>
      <c r="E13" s="341">
        <f t="shared" si="101"/>
        <v>69369145000</v>
      </c>
      <c r="F13" s="342">
        <f t="shared" si="4"/>
        <v>1.8255038157894736</v>
      </c>
      <c r="G13" s="341">
        <v>2200000000</v>
      </c>
      <c r="H13" s="341">
        <f>B52</f>
        <v>3583590000</v>
      </c>
      <c r="I13" s="343">
        <f t="shared" si="5"/>
        <v>1.6289045454545454</v>
      </c>
      <c r="J13" s="341">
        <v>1300000000</v>
      </c>
      <c r="K13" s="341">
        <f>C52</f>
        <v>5861970000</v>
      </c>
      <c r="L13" s="343">
        <f t="shared" si="6"/>
        <v>4.509207692307692</v>
      </c>
      <c r="M13" s="341">
        <v>2300000000</v>
      </c>
      <c r="N13" s="341">
        <f>D52</f>
        <v>6428770000</v>
      </c>
      <c r="O13" s="343">
        <f t="shared" si="7"/>
        <v>2.7951173913043479</v>
      </c>
      <c r="P13" s="341">
        <v>2250000000</v>
      </c>
      <c r="Q13" s="341">
        <f>E52</f>
        <v>5144070000</v>
      </c>
      <c r="R13" s="343">
        <f t="shared" si="51"/>
        <v>2.2862533333333332</v>
      </c>
      <c r="S13" s="341">
        <v>2350000000</v>
      </c>
      <c r="T13" s="341">
        <f>F52</f>
        <v>6257390000</v>
      </c>
      <c r="U13" s="342">
        <f>IFERROR(T13/S12,0%)</f>
        <v>3.382372972972973</v>
      </c>
      <c r="V13" s="341">
        <v>2550000000</v>
      </c>
      <c r="W13" s="341">
        <f>G52</f>
        <v>7163310000</v>
      </c>
      <c r="X13" s="343">
        <f t="shared" si="9"/>
        <v>2.8091411764705883</v>
      </c>
      <c r="Y13" s="341">
        <v>4100000000</v>
      </c>
      <c r="Z13" s="341">
        <f>H52</f>
        <v>6231620000</v>
      </c>
      <c r="AA13" s="342">
        <f>IFERROR(Z13/Y13,0%)</f>
        <v>1.5199073170731707</v>
      </c>
      <c r="AB13" s="341">
        <v>4200000000</v>
      </c>
      <c r="AC13" s="341">
        <f>I52</f>
        <v>6042640000</v>
      </c>
      <c r="AD13" s="342">
        <f t="shared" si="10"/>
        <v>1.4387238095238095</v>
      </c>
      <c r="AE13" s="341">
        <v>4350000000</v>
      </c>
      <c r="AF13" s="341">
        <f>J52</f>
        <v>4879712000</v>
      </c>
      <c r="AG13" s="342">
        <f t="shared" si="11"/>
        <v>1.1217728735632184</v>
      </c>
      <c r="AH13" s="341">
        <v>4050000000</v>
      </c>
      <c r="AI13" s="341">
        <f>K52</f>
        <v>5377991000</v>
      </c>
      <c r="AJ13" s="342">
        <f t="shared" si="12"/>
        <v>1.3278990123456791</v>
      </c>
      <c r="AK13" s="344">
        <v>4250000000</v>
      </c>
      <c r="AL13" s="344">
        <f>L52</f>
        <v>7021940000</v>
      </c>
      <c r="AM13" s="342">
        <f t="shared" si="13"/>
        <v>1.6522211764705883</v>
      </c>
      <c r="AN13" s="344">
        <v>4100000000</v>
      </c>
      <c r="AO13" s="344">
        <f>M52</f>
        <v>5376142000</v>
      </c>
      <c r="AP13" s="342">
        <f t="shared" si="14"/>
        <v>1.3112541463414633</v>
      </c>
      <c r="AQ13" s="341">
        <f>M13+J13+G13</f>
        <v>5800000000</v>
      </c>
      <c r="AR13" s="341">
        <f>N13+K13+H13</f>
        <v>15874330000</v>
      </c>
      <c r="AS13" s="343">
        <f t="shared" si="15"/>
        <v>2.736953448275862</v>
      </c>
      <c r="AT13" s="341">
        <f>P13+S12+V13</f>
        <v>6650000000</v>
      </c>
      <c r="AU13" s="341">
        <f t="shared" si="89"/>
        <v>18564770000</v>
      </c>
      <c r="AV13" s="343">
        <f t="shared" si="17"/>
        <v>2.7916947368421052</v>
      </c>
      <c r="AW13" s="341">
        <f t="shared" si="18"/>
        <v>12650000000</v>
      </c>
      <c r="AX13" s="341">
        <f t="shared" si="90"/>
        <v>17153972000</v>
      </c>
      <c r="AY13" s="343">
        <f t="shared" si="20"/>
        <v>1.3560452173913045</v>
      </c>
      <c r="AZ13" s="341">
        <f t="shared" si="21"/>
        <v>12400000000</v>
      </c>
      <c r="BA13" s="341">
        <f t="shared" si="22"/>
        <v>17776073000</v>
      </c>
      <c r="BB13" s="343">
        <f t="shared" si="23"/>
        <v>1.4335542741935483</v>
      </c>
      <c r="BC13" s="341">
        <f t="shared" si="91"/>
        <v>29150000000</v>
      </c>
      <c r="BD13" s="341">
        <f t="shared" si="92"/>
        <v>63993003000</v>
      </c>
      <c r="BE13" s="343">
        <f t="shared" si="25"/>
        <v>2.1953002744425385</v>
      </c>
      <c r="BF13" s="244">
        <f t="shared" si="53"/>
        <v>1.8524290342105263</v>
      </c>
      <c r="BG13" s="39"/>
      <c r="BO13" s="498"/>
      <c r="BP13" s="498"/>
      <c r="BQ13" s="355" t="s">
        <v>104</v>
      </c>
      <c r="BR13" s="341">
        <f t="shared" si="102"/>
        <v>38520000000</v>
      </c>
      <c r="BS13" s="341">
        <f t="shared" si="103"/>
        <v>1268000000</v>
      </c>
      <c r="BT13" s="342">
        <f t="shared" si="106"/>
        <v>3.2917964693665626E-2</v>
      </c>
      <c r="BU13" s="341">
        <v>2720000000</v>
      </c>
      <c r="BV13" s="341">
        <f>BZ46*10^6</f>
        <v>1268000000</v>
      </c>
      <c r="BW13" s="343">
        <f t="shared" si="93"/>
        <v>0.4661764705882353</v>
      </c>
      <c r="BX13" s="341">
        <v>1300000000</v>
      </c>
      <c r="BY13" s="341"/>
      <c r="BZ13" s="343">
        <f t="shared" si="28"/>
        <v>0</v>
      </c>
      <c r="CA13" s="341">
        <v>2300000000</v>
      </c>
      <c r="CB13" s="341"/>
      <c r="CC13" s="343">
        <f t="shared" si="29"/>
        <v>0</v>
      </c>
      <c r="CD13" s="341">
        <v>2250000000</v>
      </c>
      <c r="CE13" s="341"/>
      <c r="CF13" s="343">
        <f t="shared" si="56"/>
        <v>0</v>
      </c>
      <c r="CG13" s="341">
        <v>2350000000</v>
      </c>
      <c r="CH13" s="341"/>
      <c r="CI13" s="342">
        <f>IFERROR(CH13/CG12,0%)</f>
        <v>0</v>
      </c>
      <c r="CJ13" s="341">
        <v>2550000000</v>
      </c>
      <c r="CK13" s="341"/>
      <c r="CL13" s="343">
        <f t="shared" si="31"/>
        <v>0</v>
      </c>
      <c r="CM13" s="341">
        <v>4100000000</v>
      </c>
      <c r="CN13" s="341"/>
      <c r="CO13" s="342">
        <f>IFERROR(CN13/CM13,0%)</f>
        <v>0</v>
      </c>
      <c r="CP13" s="341">
        <v>4200000000</v>
      </c>
      <c r="CQ13" s="341"/>
      <c r="CR13" s="342">
        <f t="shared" si="32"/>
        <v>0</v>
      </c>
      <c r="CS13" s="341">
        <v>4350000000</v>
      </c>
      <c r="CT13" s="341"/>
      <c r="CU13" s="342">
        <f t="shared" si="33"/>
        <v>0</v>
      </c>
      <c r="CV13" s="341">
        <v>4050000000</v>
      </c>
      <c r="CW13" s="341"/>
      <c r="CX13" s="342">
        <f t="shared" si="34"/>
        <v>0</v>
      </c>
      <c r="CY13" s="344">
        <v>4250000000</v>
      </c>
      <c r="CZ13" s="344"/>
      <c r="DA13" s="342">
        <f t="shared" si="35"/>
        <v>0</v>
      </c>
      <c r="DB13" s="344">
        <v>4100000000</v>
      </c>
      <c r="DC13" s="344"/>
      <c r="DD13" s="342">
        <f t="shared" si="36"/>
        <v>0</v>
      </c>
      <c r="DE13" s="341">
        <f>CA13+BX13+BU13</f>
        <v>6320000000</v>
      </c>
      <c r="DF13" s="341">
        <f>CB13+BY13+BV13</f>
        <v>1268000000</v>
      </c>
      <c r="DG13" s="343">
        <f t="shared" si="37"/>
        <v>0.20063291139240505</v>
      </c>
      <c r="DH13" s="341">
        <f>CD13+CG12+CJ13</f>
        <v>6650000000</v>
      </c>
      <c r="DI13" s="341">
        <f t="shared" ref="DI13:DI39" si="107">CE13+CH13+CK13</f>
        <v>0</v>
      </c>
      <c r="DJ13" s="343">
        <f t="shared" si="40"/>
        <v>0</v>
      </c>
      <c r="DK13" s="341">
        <f t="shared" si="96"/>
        <v>12650000000</v>
      </c>
      <c r="DL13" s="341">
        <f t="shared" si="97"/>
        <v>0</v>
      </c>
      <c r="DM13" s="343">
        <f t="shared" si="43"/>
        <v>0</v>
      </c>
      <c r="DN13" s="341">
        <f t="shared" si="44"/>
        <v>12400000000</v>
      </c>
      <c r="DO13" s="341">
        <f t="shared" si="45"/>
        <v>0</v>
      </c>
      <c r="DP13" s="343">
        <f t="shared" si="46"/>
        <v>0</v>
      </c>
      <c r="DQ13" s="341">
        <f t="shared" si="98"/>
        <v>29670000000</v>
      </c>
      <c r="DR13" s="341">
        <f t="shared" si="48"/>
        <v>1268000000</v>
      </c>
      <c r="DS13" s="343">
        <f t="shared" si="49"/>
        <v>4.2736771149309065E-2</v>
      </c>
      <c r="DT13" s="244">
        <f t="shared" si="99"/>
        <v>3.6209761163032192E-2</v>
      </c>
    </row>
    <row r="14" spans="1:124" ht="15">
      <c r="A14" s="525" t="s">
        <v>105</v>
      </c>
      <c r="B14" s="526"/>
      <c r="C14" s="526"/>
      <c r="D14" s="338">
        <f>SUM(D9:D13)</f>
        <v>330000000000</v>
      </c>
      <c r="E14" s="338">
        <f>SUM(E9:E13)</f>
        <v>280571884141</v>
      </c>
      <c r="F14" s="339">
        <f t="shared" ref="F14" si="108">IFERROR(E14/D14,0%)</f>
        <v>0.85021783073030299</v>
      </c>
      <c r="G14" s="338">
        <f t="shared" ref="G14" si="109">SUM(G9:G13)</f>
        <v>19390000000</v>
      </c>
      <c r="H14" s="338">
        <f t="shared" ref="H14" si="110">SUM(H9:H13)</f>
        <v>16119750602</v>
      </c>
      <c r="I14" s="340">
        <f t="shared" si="5"/>
        <v>0.83134350706549764</v>
      </c>
      <c r="J14" s="338">
        <f t="shared" ref="J14:AP14" si="111">SUM(J9:J13)</f>
        <v>13882000000</v>
      </c>
      <c r="K14" s="338">
        <f t="shared" si="111"/>
        <v>19200879499</v>
      </c>
      <c r="L14" s="340">
        <f t="shared" si="6"/>
        <v>1.3831493660135428</v>
      </c>
      <c r="M14" s="338">
        <f t="shared" si="111"/>
        <v>20020000000</v>
      </c>
      <c r="N14" s="338">
        <f>SUM(N9:N13)</f>
        <v>27273773206</v>
      </c>
      <c r="O14" s="340">
        <f t="shared" si="7"/>
        <v>1.3623263339660339</v>
      </c>
      <c r="P14" s="338">
        <f t="shared" si="111"/>
        <v>24426000000</v>
      </c>
      <c r="Q14" s="338">
        <f>SUM(Q9:Q13)</f>
        <v>26893708413</v>
      </c>
      <c r="R14" s="340">
        <f t="shared" si="51"/>
        <v>1.1010279379759274</v>
      </c>
      <c r="S14" s="338">
        <f t="shared" si="111"/>
        <v>25595000000</v>
      </c>
      <c r="T14" s="338">
        <f t="shared" si="111"/>
        <v>26251808743</v>
      </c>
      <c r="U14" s="340">
        <f t="shared" ref="U14" si="112">IFERROR(T14/S14,0%)</f>
        <v>1.0256616035553818</v>
      </c>
      <c r="V14" s="338">
        <f t="shared" si="111"/>
        <v>29572000000</v>
      </c>
      <c r="W14" s="338">
        <f t="shared" si="111"/>
        <v>24840975242</v>
      </c>
      <c r="X14" s="340">
        <f t="shared" si="9"/>
        <v>0.8400167469903963</v>
      </c>
      <c r="Y14" s="338">
        <f t="shared" si="111"/>
        <v>29916000000</v>
      </c>
      <c r="Z14" s="338">
        <f t="shared" si="111"/>
        <v>23140409656</v>
      </c>
      <c r="AA14" s="340">
        <f t="shared" ref="AA14" si="113">IFERROR(Z14/Y14,0%)</f>
        <v>0.77351282444177027</v>
      </c>
      <c r="AB14" s="338">
        <f t="shared" si="111"/>
        <v>32358000000</v>
      </c>
      <c r="AC14" s="338">
        <f t="shared" si="111"/>
        <v>25783326521</v>
      </c>
      <c r="AD14" s="340">
        <f t="shared" si="10"/>
        <v>0.79681459054947767</v>
      </c>
      <c r="AE14" s="338">
        <f t="shared" si="111"/>
        <v>30313000000</v>
      </c>
      <c r="AF14" s="338">
        <f t="shared" si="111"/>
        <v>20396799905</v>
      </c>
      <c r="AG14" s="340">
        <f t="shared" si="11"/>
        <v>0.67287302164088014</v>
      </c>
      <c r="AH14" s="338">
        <f t="shared" si="111"/>
        <v>32333000000</v>
      </c>
      <c r="AI14" s="338">
        <f t="shared" si="111"/>
        <v>25943441566</v>
      </c>
      <c r="AJ14" s="340">
        <f t="shared" si="12"/>
        <v>0.80238275340982901</v>
      </c>
      <c r="AK14" s="338">
        <f t="shared" si="111"/>
        <v>35854000000</v>
      </c>
      <c r="AL14" s="338">
        <f t="shared" si="111"/>
        <v>23527090843</v>
      </c>
      <c r="AM14" s="340">
        <f t="shared" si="13"/>
        <v>0.65619152236849443</v>
      </c>
      <c r="AN14" s="338">
        <f t="shared" si="111"/>
        <v>36341000000</v>
      </c>
      <c r="AO14" s="338">
        <f t="shared" si="111"/>
        <v>21199919945</v>
      </c>
      <c r="AP14" s="340">
        <f t="shared" si="14"/>
        <v>0.58336094067306898</v>
      </c>
      <c r="AQ14" s="338">
        <f>M14+J14+G14</f>
        <v>53292000000</v>
      </c>
      <c r="AR14" s="338">
        <f>N14+K14+H14</f>
        <v>62594403307</v>
      </c>
      <c r="AS14" s="340">
        <f t="shared" si="15"/>
        <v>1.1745553423966073</v>
      </c>
      <c r="AT14" s="338">
        <f t="shared" si="88"/>
        <v>79593000000</v>
      </c>
      <c r="AU14" s="338">
        <f t="shared" si="89"/>
        <v>77986492398</v>
      </c>
      <c r="AV14" s="340">
        <f t="shared" si="17"/>
        <v>0.97981596871584187</v>
      </c>
      <c r="AW14" s="338">
        <f t="shared" si="18"/>
        <v>92587000000</v>
      </c>
      <c r="AX14" s="338">
        <f>Z14+AC14+AF14</f>
        <v>69320536082</v>
      </c>
      <c r="AY14" s="340">
        <f t="shared" si="20"/>
        <v>0.74870701158910002</v>
      </c>
      <c r="AZ14" s="338">
        <f t="shared" si="21"/>
        <v>104528000000</v>
      </c>
      <c r="BA14" s="338">
        <f t="shared" si="22"/>
        <v>70670452354</v>
      </c>
      <c r="BB14" s="340">
        <f t="shared" si="23"/>
        <v>0.67609111772922093</v>
      </c>
      <c r="BC14" s="338">
        <f t="shared" si="91"/>
        <v>257805000000</v>
      </c>
      <c r="BD14" s="338">
        <f t="shared" si="92"/>
        <v>259371964196</v>
      </c>
      <c r="BE14" s="340">
        <f t="shared" si="25"/>
        <v>1.0060780985473516</v>
      </c>
      <c r="BF14" s="244">
        <f t="shared" si="53"/>
        <v>0.86457321398666664</v>
      </c>
      <c r="BG14" s="39"/>
      <c r="BO14" s="525" t="s">
        <v>105</v>
      </c>
      <c r="BP14" s="526"/>
      <c r="BQ14" s="526"/>
      <c r="BR14" s="338">
        <f>SUM(BR9:BR13)</f>
        <v>331837000000</v>
      </c>
      <c r="BS14" s="338">
        <f>SUM(BS9:BS13)</f>
        <v>8667000000</v>
      </c>
      <c r="BT14" s="339">
        <f t="shared" si="106"/>
        <v>2.6118244800911291E-2</v>
      </c>
      <c r="BU14" s="338">
        <f t="shared" ref="BU14:BV14" si="114">SUM(BU9:BU13)</f>
        <v>21227000000</v>
      </c>
      <c r="BV14" s="338">
        <f t="shared" si="114"/>
        <v>8667000000</v>
      </c>
      <c r="BW14" s="340">
        <f t="shared" si="93"/>
        <v>0.40830074904602631</v>
      </c>
      <c r="BX14" s="338">
        <f t="shared" ref="BX14:DD14" si="115">SUM(BX9:BX13)</f>
        <v>13882000000</v>
      </c>
      <c r="BY14" s="338"/>
      <c r="BZ14" s="340">
        <f t="shared" si="28"/>
        <v>0</v>
      </c>
      <c r="CA14" s="338">
        <f t="shared" ref="CA14:DG14" si="116">SUM(CA9:CA13)</f>
        <v>20020000000</v>
      </c>
      <c r="CB14" s="338"/>
      <c r="CC14" s="340">
        <f t="shared" si="29"/>
        <v>0</v>
      </c>
      <c r="CD14" s="338">
        <f t="shared" ref="CD14:DJ14" si="117">SUM(CD9:CD13)</f>
        <v>24426000000</v>
      </c>
      <c r="CE14" s="338"/>
      <c r="CF14" s="340">
        <f t="shared" si="56"/>
        <v>0</v>
      </c>
      <c r="CG14" s="338">
        <f t="shared" ref="CG14:DM14" si="118">SUM(CG9:CG13)</f>
        <v>25595000000</v>
      </c>
      <c r="CH14" s="338"/>
      <c r="CI14" s="340">
        <f t="shared" ref="CI14:CI39" si="119">IFERROR(CH14/CG14,0%)</f>
        <v>0</v>
      </c>
      <c r="CJ14" s="338">
        <f t="shared" ref="CJ14:DP14" si="120">SUM(CJ9:CJ13)</f>
        <v>29572000000</v>
      </c>
      <c r="CK14" s="338"/>
      <c r="CL14" s="340">
        <f t="shared" si="31"/>
        <v>0</v>
      </c>
      <c r="CM14" s="338">
        <f t="shared" ref="CM14:DS14" si="121">SUM(CM9:CM13)</f>
        <v>29916000000</v>
      </c>
      <c r="CN14" s="338"/>
      <c r="CO14" s="340">
        <f t="shared" ref="CO14" si="122">IFERROR(CN14/CM14,0%)</f>
        <v>0</v>
      </c>
      <c r="CP14" s="338">
        <f t="shared" ref="CP14:DT14" si="123">SUM(CP9:CP13)</f>
        <v>32358000000</v>
      </c>
      <c r="CQ14" s="338"/>
      <c r="CR14" s="340">
        <f t="shared" si="32"/>
        <v>0</v>
      </c>
      <c r="CS14" s="338">
        <f t="shared" ref="CS14:DT14" si="124">SUM(CS9:CS13)</f>
        <v>30313000000</v>
      </c>
      <c r="CT14" s="338"/>
      <c r="CU14" s="340">
        <f t="shared" si="33"/>
        <v>0</v>
      </c>
      <c r="CV14" s="338">
        <f t="shared" ref="CV14:DT14" si="125">SUM(CV9:CV13)</f>
        <v>32333000000</v>
      </c>
      <c r="CW14" s="338"/>
      <c r="CX14" s="340">
        <f t="shared" si="34"/>
        <v>0</v>
      </c>
      <c r="CY14" s="338">
        <f t="shared" ref="CY14:DT14" si="126">SUM(CY9:CY13)</f>
        <v>35854000000</v>
      </c>
      <c r="CZ14" s="338"/>
      <c r="DA14" s="340">
        <f t="shared" si="35"/>
        <v>0</v>
      </c>
      <c r="DB14" s="338">
        <f t="shared" ref="DB14:DT14" si="127">SUM(DB9:DB13)</f>
        <v>36341000000</v>
      </c>
      <c r="DC14" s="338"/>
      <c r="DD14" s="340">
        <f t="shared" si="36"/>
        <v>0</v>
      </c>
      <c r="DE14" s="338">
        <f>CA14+BX14+BU14</f>
        <v>55129000000</v>
      </c>
      <c r="DF14" s="338">
        <f>CB14+BY14+BV14</f>
        <v>8667000000</v>
      </c>
      <c r="DG14" s="340">
        <f t="shared" si="37"/>
        <v>0.15721308204393333</v>
      </c>
      <c r="DH14" s="338">
        <f t="shared" ref="DH14:DH39" si="128">CD14+CG14+CJ14</f>
        <v>79593000000</v>
      </c>
      <c r="DI14" s="338">
        <f t="shared" si="107"/>
        <v>0</v>
      </c>
      <c r="DJ14" s="340">
        <f t="shared" si="40"/>
        <v>0</v>
      </c>
      <c r="DK14" s="338">
        <f t="shared" si="96"/>
        <v>92587000000</v>
      </c>
      <c r="DL14" s="338">
        <f>CN14+CQ14+CT14</f>
        <v>0</v>
      </c>
      <c r="DM14" s="340">
        <f t="shared" si="43"/>
        <v>0</v>
      </c>
      <c r="DN14" s="338">
        <f t="shared" si="44"/>
        <v>104528000000</v>
      </c>
      <c r="DO14" s="338">
        <f t="shared" si="45"/>
        <v>0</v>
      </c>
      <c r="DP14" s="340">
        <f t="shared" si="46"/>
        <v>0</v>
      </c>
      <c r="DQ14" s="338">
        <f t="shared" si="98"/>
        <v>259642000000</v>
      </c>
      <c r="DR14" s="338">
        <f t="shared" si="48"/>
        <v>8667000000</v>
      </c>
      <c r="DS14" s="340">
        <f t="shared" si="49"/>
        <v>3.3380577872609209E-2</v>
      </c>
      <c r="DT14" s="244">
        <f t="shared" si="99"/>
        <v>2.873006928100242E-2</v>
      </c>
    </row>
    <row r="15" spans="1:124" ht="15">
      <c r="A15" s="497" t="s">
        <v>5</v>
      </c>
      <c r="B15" s="497" t="s">
        <v>38</v>
      </c>
      <c r="C15" s="355" t="s">
        <v>39</v>
      </c>
      <c r="D15" s="341">
        <f>G15+J15+M15+P15+S15+V15+Y15+AB15+AE15+AH15+AK15+AN15</f>
        <v>11000000000</v>
      </c>
      <c r="E15" s="341">
        <f>H15+K15+N15+Q15+T15+W15+Z15+AC15+AF15+AI15+AL15+AO15</f>
        <v>11831614811</v>
      </c>
      <c r="F15" s="342">
        <f t="shared" si="4"/>
        <v>1.0756013464545455</v>
      </c>
      <c r="G15" s="344">
        <v>292000000</v>
      </c>
      <c r="H15" s="344">
        <f>B64</f>
        <v>133057000</v>
      </c>
      <c r="I15" s="343">
        <f t="shared" si="5"/>
        <v>0.45567465753424657</v>
      </c>
      <c r="J15" s="344">
        <v>31000000</v>
      </c>
      <c r="K15" s="344">
        <f>C64</f>
        <v>1694634900</v>
      </c>
      <c r="L15" s="343">
        <f t="shared" si="6"/>
        <v>54.665641935483869</v>
      </c>
      <c r="M15" s="344">
        <v>1013000000</v>
      </c>
      <c r="N15" s="344">
        <f>D64</f>
        <v>680333000</v>
      </c>
      <c r="O15" s="343">
        <f t="shared" si="7"/>
        <v>0.67160217176702863</v>
      </c>
      <c r="P15" s="344">
        <v>380000000</v>
      </c>
      <c r="Q15" s="344">
        <f>E64</f>
        <v>179131600</v>
      </c>
      <c r="R15" s="343">
        <f t="shared" si="51"/>
        <v>0.47139894736842103</v>
      </c>
      <c r="S15" s="341">
        <v>707000000</v>
      </c>
      <c r="T15" s="344">
        <f>F64</f>
        <v>904989111</v>
      </c>
      <c r="U15" s="342">
        <f t="shared" si="8"/>
        <v>1.2800411753889676</v>
      </c>
      <c r="V15" s="344">
        <v>1022000000</v>
      </c>
      <c r="W15" s="344">
        <f>G64</f>
        <v>810577000</v>
      </c>
      <c r="X15" s="343">
        <f t="shared" si="9"/>
        <v>0.79312818003913899</v>
      </c>
      <c r="Y15" s="344">
        <v>824000000</v>
      </c>
      <c r="Z15" s="344">
        <f>H64</f>
        <v>947783000</v>
      </c>
      <c r="AA15" s="342">
        <f>IFERROR(Z15/Y15,0%)</f>
        <v>1.1502220873786408</v>
      </c>
      <c r="AB15" s="341">
        <v>738000000</v>
      </c>
      <c r="AC15" s="344">
        <f>I64</f>
        <v>587764000</v>
      </c>
      <c r="AD15" s="342">
        <f t="shared" si="10"/>
        <v>0.79642818428184281</v>
      </c>
      <c r="AE15" s="344">
        <v>719000000</v>
      </c>
      <c r="AF15" s="344">
        <f>J64</f>
        <v>856421000</v>
      </c>
      <c r="AG15" s="342">
        <f t="shared" si="11"/>
        <v>1.1911279554937413</v>
      </c>
      <c r="AH15" s="344">
        <v>1672000000</v>
      </c>
      <c r="AI15" s="344">
        <f>K64</f>
        <v>1719065200</v>
      </c>
      <c r="AJ15" s="342">
        <f t="shared" si="12"/>
        <v>1.0281490430622009</v>
      </c>
      <c r="AK15" s="344">
        <v>1801000000</v>
      </c>
      <c r="AL15" s="344">
        <f>L64</f>
        <v>1817230000</v>
      </c>
      <c r="AM15" s="342">
        <f t="shared" si="13"/>
        <v>1.009011660188784</v>
      </c>
      <c r="AN15" s="344">
        <v>1801000000</v>
      </c>
      <c r="AO15" s="344">
        <f>M64</f>
        <v>1500629000</v>
      </c>
      <c r="AP15" s="342">
        <f t="shared" si="14"/>
        <v>0.83321987784564133</v>
      </c>
      <c r="AQ15" s="341">
        <f>M15+J15+G15</f>
        <v>1336000000</v>
      </c>
      <c r="AR15" s="341">
        <f>N15+K15+H15</f>
        <v>2508024900</v>
      </c>
      <c r="AS15" s="343">
        <f t="shared" si="15"/>
        <v>1.8772641467065869</v>
      </c>
      <c r="AT15" s="341">
        <f t="shared" si="88"/>
        <v>2109000000</v>
      </c>
      <c r="AU15" s="341">
        <f>Q15+T15+W15</f>
        <v>1894697711</v>
      </c>
      <c r="AV15" s="343">
        <f t="shared" si="17"/>
        <v>0.89838677619724994</v>
      </c>
      <c r="AW15" s="341">
        <f t="shared" si="18"/>
        <v>2281000000</v>
      </c>
      <c r="AX15" s="341">
        <f t="shared" si="90"/>
        <v>2391968000</v>
      </c>
      <c r="AY15" s="343">
        <f t="shared" si="20"/>
        <v>1.048648838228847</v>
      </c>
      <c r="AZ15" s="341">
        <f t="shared" si="21"/>
        <v>5274000000</v>
      </c>
      <c r="BA15" s="341">
        <f t="shared" si="22"/>
        <v>5036924200</v>
      </c>
      <c r="BB15" s="343">
        <f t="shared" si="23"/>
        <v>0.95504819871065605</v>
      </c>
      <c r="BC15" s="341">
        <f t="shared" si="91"/>
        <v>7398000000</v>
      </c>
      <c r="BD15" s="341">
        <f t="shared" si="92"/>
        <v>10330985811</v>
      </c>
      <c r="BE15" s="343">
        <f t="shared" si="25"/>
        <v>1.3964565843471208</v>
      </c>
      <c r="BF15" s="244">
        <f t="shared" si="53"/>
        <v>1.0330985811</v>
      </c>
      <c r="BG15" s="39"/>
      <c r="BO15" s="497" t="s">
        <v>5</v>
      </c>
      <c r="BP15" s="497" t="s">
        <v>38</v>
      </c>
      <c r="BQ15" s="355" t="s">
        <v>39</v>
      </c>
      <c r="BR15" s="341">
        <f>BU15+BX15+CA15+CD15+CG15+CJ15+CM15+CP15+CS15+CV15+CY15+DB15</f>
        <v>10901000000</v>
      </c>
      <c r="BS15" s="341">
        <f>BV15+BY15+CB15+CE15+CH15+CK15+CN15+CQ15+CT15+CW15+CZ15+DC15</f>
        <v>445000000</v>
      </c>
      <c r="BT15" s="342">
        <f t="shared" si="106"/>
        <v>4.0821942941014586E-2</v>
      </c>
      <c r="BU15" s="344">
        <v>193000000</v>
      </c>
      <c r="BV15" s="341">
        <f>BX44*10^6</f>
        <v>445000000</v>
      </c>
      <c r="BW15" s="343">
        <f t="shared" si="93"/>
        <v>2.3056994818652852</v>
      </c>
      <c r="BX15" s="344">
        <v>31000000</v>
      </c>
      <c r="BY15" s="344"/>
      <c r="BZ15" s="343">
        <f t="shared" si="28"/>
        <v>0</v>
      </c>
      <c r="CA15" s="344">
        <v>1013000000</v>
      </c>
      <c r="CB15" s="344"/>
      <c r="CC15" s="343">
        <f t="shared" si="29"/>
        <v>0</v>
      </c>
      <c r="CD15" s="344">
        <v>380000000</v>
      </c>
      <c r="CE15" s="344"/>
      <c r="CF15" s="343">
        <f t="shared" si="56"/>
        <v>0</v>
      </c>
      <c r="CG15" s="341">
        <v>707000000</v>
      </c>
      <c r="CH15" s="344"/>
      <c r="CI15" s="342">
        <f t="shared" si="119"/>
        <v>0</v>
      </c>
      <c r="CJ15" s="344">
        <v>1022000000</v>
      </c>
      <c r="CK15" s="344"/>
      <c r="CL15" s="343">
        <f t="shared" si="31"/>
        <v>0</v>
      </c>
      <c r="CM15" s="344">
        <v>824000000</v>
      </c>
      <c r="CN15" s="344"/>
      <c r="CO15" s="342">
        <f>IFERROR(CN15/CM15,0%)</f>
        <v>0</v>
      </c>
      <c r="CP15" s="341">
        <v>738000000</v>
      </c>
      <c r="CQ15" s="344"/>
      <c r="CR15" s="342">
        <f t="shared" si="32"/>
        <v>0</v>
      </c>
      <c r="CS15" s="344">
        <v>719000000</v>
      </c>
      <c r="CT15" s="344"/>
      <c r="CU15" s="342">
        <f t="shared" si="33"/>
        <v>0</v>
      </c>
      <c r="CV15" s="344">
        <v>1672000000</v>
      </c>
      <c r="CW15" s="344"/>
      <c r="CX15" s="342">
        <f t="shared" si="34"/>
        <v>0</v>
      </c>
      <c r="CY15" s="344">
        <v>1801000000</v>
      </c>
      <c r="CZ15" s="344"/>
      <c r="DA15" s="342">
        <f t="shared" si="35"/>
        <v>0</v>
      </c>
      <c r="DB15" s="344">
        <v>1801000000</v>
      </c>
      <c r="DC15" s="344"/>
      <c r="DD15" s="342">
        <f t="shared" si="36"/>
        <v>0</v>
      </c>
      <c r="DE15" s="341">
        <f>CA15+BX15+BU15</f>
        <v>1237000000</v>
      </c>
      <c r="DF15" s="341">
        <f>CB15+BY15+BV15</f>
        <v>445000000</v>
      </c>
      <c r="DG15" s="343">
        <f t="shared" si="37"/>
        <v>0.35974130962004852</v>
      </c>
      <c r="DH15" s="341">
        <f t="shared" si="128"/>
        <v>2109000000</v>
      </c>
      <c r="DI15" s="341">
        <f>CE15+CH15+CK15</f>
        <v>0</v>
      </c>
      <c r="DJ15" s="343">
        <f t="shared" si="40"/>
        <v>0</v>
      </c>
      <c r="DK15" s="341">
        <f t="shared" si="96"/>
        <v>2281000000</v>
      </c>
      <c r="DL15" s="341">
        <f t="shared" ref="DL15:DL39" si="129">CN15+CQ15+CT15</f>
        <v>0</v>
      </c>
      <c r="DM15" s="343">
        <f t="shared" si="43"/>
        <v>0</v>
      </c>
      <c r="DN15" s="341">
        <f t="shared" si="44"/>
        <v>5274000000</v>
      </c>
      <c r="DO15" s="341">
        <f t="shared" si="45"/>
        <v>0</v>
      </c>
      <c r="DP15" s="343">
        <f t="shared" si="46"/>
        <v>0</v>
      </c>
      <c r="DQ15" s="341">
        <f t="shared" si="98"/>
        <v>7299000000</v>
      </c>
      <c r="DR15" s="341">
        <f t="shared" si="48"/>
        <v>445000000</v>
      </c>
      <c r="DS15" s="343">
        <f t="shared" si="49"/>
        <v>6.0967255788464174E-2</v>
      </c>
      <c r="DT15" s="244">
        <f t="shared" si="99"/>
        <v>4.4904137235116041E-2</v>
      </c>
    </row>
    <row r="16" spans="1:124" ht="15">
      <c r="A16" s="497"/>
      <c r="B16" s="498"/>
      <c r="C16" s="355" t="s">
        <v>40</v>
      </c>
      <c r="D16" s="341">
        <f>G16+J16+M16+P16+S16+V16+Y16+AB16+AE16+AH16+AK16+AN16</f>
        <v>30000000000</v>
      </c>
      <c r="E16" s="341">
        <f t="shared" ref="E16:E18" si="130">H16+K16+N16+Q16+T16+W16+Z16+AC16+AF16+AI16+AL16+AO16</f>
        <v>28210314172</v>
      </c>
      <c r="F16" s="342">
        <f t="shared" si="4"/>
        <v>0.94034380573333332</v>
      </c>
      <c r="G16" s="344">
        <v>2164000000</v>
      </c>
      <c r="H16" s="344">
        <f>B45</f>
        <v>1898384419</v>
      </c>
      <c r="I16" s="343">
        <f t="shared" si="5"/>
        <v>0.87725712523105359</v>
      </c>
      <c r="J16" s="344">
        <v>2611000000</v>
      </c>
      <c r="K16" s="344">
        <f>C45</f>
        <v>1085756670</v>
      </c>
      <c r="L16" s="343">
        <f t="shared" si="6"/>
        <v>0.41583939869781694</v>
      </c>
      <c r="M16" s="344">
        <v>2549000000</v>
      </c>
      <c r="N16" s="344">
        <f>D45</f>
        <v>1683815818</v>
      </c>
      <c r="O16" s="343">
        <f t="shared" si="7"/>
        <v>0.66057897920753239</v>
      </c>
      <c r="P16" s="344">
        <v>2829000000</v>
      </c>
      <c r="Q16" s="344">
        <f>E45</f>
        <v>1534716714</v>
      </c>
      <c r="R16" s="343">
        <f t="shared" si="51"/>
        <v>0.54249441993637326</v>
      </c>
      <c r="S16" s="341">
        <v>1806000000</v>
      </c>
      <c r="T16" s="344">
        <f>F45</f>
        <v>1643624025</v>
      </c>
      <c r="U16" s="342">
        <f t="shared" si="8"/>
        <v>0.91009082225913618</v>
      </c>
      <c r="V16" s="344">
        <v>2366000000</v>
      </c>
      <c r="W16" s="344">
        <f>G45</f>
        <v>1840374723</v>
      </c>
      <c r="X16" s="343">
        <f t="shared" si="9"/>
        <v>0.77784223288250209</v>
      </c>
      <c r="Y16" s="344">
        <v>2386000000</v>
      </c>
      <c r="Z16" s="344">
        <f>H45</f>
        <v>2660941823</v>
      </c>
      <c r="AA16" s="342">
        <f>IFERROR(Z16/Y16,0%)</f>
        <v>1.1152312753562448</v>
      </c>
      <c r="AB16" s="341">
        <v>2784000000</v>
      </c>
      <c r="AC16" s="344">
        <f>I45</f>
        <v>3246009116</v>
      </c>
      <c r="AD16" s="342">
        <f t="shared" si="10"/>
        <v>1.1659515502873563</v>
      </c>
      <c r="AE16" s="344">
        <v>2472000000</v>
      </c>
      <c r="AF16" s="344">
        <f>J45</f>
        <v>2507767664</v>
      </c>
      <c r="AG16" s="342">
        <f t="shared" si="11"/>
        <v>1.0144691197411004</v>
      </c>
      <c r="AH16" s="344">
        <v>2253000000</v>
      </c>
      <c r="AI16" s="344">
        <f>K45</f>
        <v>3041532763</v>
      </c>
      <c r="AJ16" s="342">
        <f t="shared" si="12"/>
        <v>1.3499923493120285</v>
      </c>
      <c r="AK16" s="344">
        <v>2890000000</v>
      </c>
      <c r="AL16" s="344">
        <f>L45</f>
        <v>3560810309</v>
      </c>
      <c r="AM16" s="342">
        <f t="shared" si="13"/>
        <v>1.2321142937716263</v>
      </c>
      <c r="AN16" s="344">
        <v>2890000000</v>
      </c>
      <c r="AO16" s="344">
        <f>M45</f>
        <v>3506580128</v>
      </c>
      <c r="AP16" s="342">
        <f t="shared" si="14"/>
        <v>1.2133495252595157</v>
      </c>
      <c r="AQ16" s="341">
        <f>M16+J16+G16</f>
        <v>7324000000</v>
      </c>
      <c r="AR16" s="341">
        <f t="shared" ref="AR16:AR18" si="131">N16+K16+H16</f>
        <v>4667956907</v>
      </c>
      <c r="AS16" s="343">
        <f t="shared" si="15"/>
        <v>0.63735075191152379</v>
      </c>
      <c r="AT16" s="341">
        <f t="shared" si="88"/>
        <v>7001000000</v>
      </c>
      <c r="AU16" s="341">
        <f t="shared" ref="AU16:AU18" si="132">Q16+T16+W16</f>
        <v>5018715462</v>
      </c>
      <c r="AV16" s="343">
        <f t="shared" si="17"/>
        <v>0.71685694357948859</v>
      </c>
      <c r="AW16" s="341">
        <f t="shared" si="18"/>
        <v>7642000000</v>
      </c>
      <c r="AX16" s="341">
        <f t="shared" si="90"/>
        <v>8414718603</v>
      </c>
      <c r="AY16" s="343">
        <f t="shared" si="20"/>
        <v>1.1011147085841402</v>
      </c>
      <c r="AZ16" s="341">
        <f t="shared" si="21"/>
        <v>8033000000</v>
      </c>
      <c r="BA16" s="341">
        <f t="shared" si="22"/>
        <v>10108923200</v>
      </c>
      <c r="BB16" s="343">
        <f t="shared" si="23"/>
        <v>1.2584243993526703</v>
      </c>
      <c r="BC16" s="341">
        <f t="shared" si="91"/>
        <v>24220000000</v>
      </c>
      <c r="BD16" s="341">
        <f t="shared" si="92"/>
        <v>24703734044</v>
      </c>
      <c r="BE16" s="343">
        <f t="shared" si="25"/>
        <v>1.0199725038810901</v>
      </c>
      <c r="BF16" s="244">
        <f t="shared" si="53"/>
        <v>0.90580358161333341</v>
      </c>
      <c r="BG16" s="39"/>
      <c r="BO16" s="497"/>
      <c r="BP16" s="498"/>
      <c r="BQ16" s="355" t="s">
        <v>40</v>
      </c>
      <c r="BR16" s="341">
        <f>BU16+BX16+CA16+CD16+CG16+CJ16+CM16+CP16+CS16+CV16+CY16+DB16</f>
        <v>29256000000</v>
      </c>
      <c r="BS16" s="341">
        <f>BV16+BY16+CB16+CE16+CH16+CK16+CN16+CQ16+CT16+CW16+CZ16+DC16</f>
        <v>355000000</v>
      </c>
      <c r="BT16" s="342">
        <f t="shared" si="106"/>
        <v>1.2134263057150671E-2</v>
      </c>
      <c r="BU16" s="344">
        <v>1420000000</v>
      </c>
      <c r="BV16" s="341">
        <f t="shared" ref="BV16:BV18" si="133">BX45*10^6</f>
        <v>355000000</v>
      </c>
      <c r="BW16" s="343">
        <f t="shared" si="93"/>
        <v>0.25</v>
      </c>
      <c r="BX16" s="344">
        <v>2611000000</v>
      </c>
      <c r="BY16" s="344"/>
      <c r="BZ16" s="343">
        <f t="shared" si="28"/>
        <v>0</v>
      </c>
      <c r="CA16" s="344">
        <v>2549000000</v>
      </c>
      <c r="CB16" s="344"/>
      <c r="CC16" s="343">
        <f t="shared" si="29"/>
        <v>0</v>
      </c>
      <c r="CD16" s="344">
        <v>2829000000</v>
      </c>
      <c r="CE16" s="344"/>
      <c r="CF16" s="343">
        <f t="shared" si="56"/>
        <v>0</v>
      </c>
      <c r="CG16" s="341">
        <v>1806000000</v>
      </c>
      <c r="CH16" s="344"/>
      <c r="CI16" s="342">
        <f t="shared" si="119"/>
        <v>0</v>
      </c>
      <c r="CJ16" s="344">
        <v>2366000000</v>
      </c>
      <c r="CK16" s="344"/>
      <c r="CL16" s="343">
        <f t="shared" si="31"/>
        <v>0</v>
      </c>
      <c r="CM16" s="344">
        <v>2386000000</v>
      </c>
      <c r="CN16" s="344"/>
      <c r="CO16" s="342">
        <f>IFERROR(CN16/CM16,0%)</f>
        <v>0</v>
      </c>
      <c r="CP16" s="341">
        <v>2784000000</v>
      </c>
      <c r="CQ16" s="344"/>
      <c r="CR16" s="342">
        <f t="shared" si="32"/>
        <v>0</v>
      </c>
      <c r="CS16" s="344">
        <v>2472000000</v>
      </c>
      <c r="CT16" s="344"/>
      <c r="CU16" s="342">
        <f t="shared" si="33"/>
        <v>0</v>
      </c>
      <c r="CV16" s="344">
        <v>2253000000</v>
      </c>
      <c r="CW16" s="344"/>
      <c r="CX16" s="342">
        <f t="shared" si="34"/>
        <v>0</v>
      </c>
      <c r="CY16" s="344">
        <v>2890000000</v>
      </c>
      <c r="CZ16" s="344"/>
      <c r="DA16" s="342">
        <f t="shared" si="35"/>
        <v>0</v>
      </c>
      <c r="DB16" s="344">
        <v>2890000000</v>
      </c>
      <c r="DC16" s="344"/>
      <c r="DD16" s="342">
        <f t="shared" si="36"/>
        <v>0</v>
      </c>
      <c r="DE16" s="341">
        <f>CA16+BX16+BU16</f>
        <v>6580000000</v>
      </c>
      <c r="DF16" s="341">
        <f t="shared" ref="DF16:DF18" si="134">CB16+BY16+BV16</f>
        <v>355000000</v>
      </c>
      <c r="DG16" s="343">
        <f t="shared" si="37"/>
        <v>5.3951367781155016E-2</v>
      </c>
      <c r="DH16" s="341">
        <f t="shared" si="128"/>
        <v>7001000000</v>
      </c>
      <c r="DI16" s="341">
        <f t="shared" ref="DI16:DI18" si="135">CE16+CH16+CK16</f>
        <v>0</v>
      </c>
      <c r="DJ16" s="343">
        <f t="shared" si="40"/>
        <v>0</v>
      </c>
      <c r="DK16" s="341">
        <f t="shared" si="96"/>
        <v>7642000000</v>
      </c>
      <c r="DL16" s="341">
        <f t="shared" si="129"/>
        <v>0</v>
      </c>
      <c r="DM16" s="343">
        <f t="shared" si="43"/>
        <v>0</v>
      </c>
      <c r="DN16" s="341">
        <f t="shared" si="44"/>
        <v>8033000000</v>
      </c>
      <c r="DO16" s="341">
        <f t="shared" si="45"/>
        <v>0</v>
      </c>
      <c r="DP16" s="343">
        <f t="shared" si="46"/>
        <v>0</v>
      </c>
      <c r="DQ16" s="341">
        <f t="shared" si="98"/>
        <v>23476000000</v>
      </c>
      <c r="DR16" s="341">
        <f t="shared" si="48"/>
        <v>355000000</v>
      </c>
      <c r="DS16" s="343">
        <f t="shared" si="49"/>
        <v>1.5121826546260011E-2</v>
      </c>
      <c r="DT16" s="244">
        <f t="shared" si="99"/>
        <v>1.3347689362865737E-2</v>
      </c>
    </row>
    <row r="17" spans="1:124" ht="15">
      <c r="A17" s="497"/>
      <c r="B17" s="497" t="s">
        <v>41</v>
      </c>
      <c r="C17" s="355" t="s">
        <v>103</v>
      </c>
      <c r="D17" s="341">
        <f>G17+J17+M17+P17+S17+V17+Y17+AB17+AE17+AH17+AK17+AN17</f>
        <v>33000000000</v>
      </c>
      <c r="E17" s="341">
        <f t="shared" si="130"/>
        <v>31756000000</v>
      </c>
      <c r="F17" s="342">
        <f t="shared" si="4"/>
        <v>0.96230303030303033</v>
      </c>
      <c r="G17" s="344">
        <v>2201000000</v>
      </c>
      <c r="H17" s="344">
        <f>B73</f>
        <v>2276000000</v>
      </c>
      <c r="I17" s="343">
        <f t="shared" si="5"/>
        <v>1.0340754202635165</v>
      </c>
      <c r="J17" s="344">
        <v>2201000000</v>
      </c>
      <c r="K17" s="344">
        <f>C73</f>
        <v>2271000000</v>
      </c>
      <c r="L17" s="343">
        <f t="shared" si="6"/>
        <v>1.0318037255792822</v>
      </c>
      <c r="M17" s="344">
        <v>1359000000</v>
      </c>
      <c r="N17" s="344">
        <f>D73</f>
        <v>2349000000</v>
      </c>
      <c r="O17" s="343">
        <f t="shared" si="7"/>
        <v>1.7284768211920529</v>
      </c>
      <c r="P17" s="344">
        <v>2253000000</v>
      </c>
      <c r="Q17" s="344">
        <f>E73</f>
        <v>2343000000</v>
      </c>
      <c r="R17" s="343">
        <f>IFERROR(Q17/#REF!,0%)</f>
        <v>0</v>
      </c>
      <c r="S17" s="341">
        <v>2658000000</v>
      </c>
      <c r="T17" s="344">
        <f>F73</f>
        <v>2498000000</v>
      </c>
      <c r="U17" s="342">
        <f t="shared" si="8"/>
        <v>0.9398043641835967</v>
      </c>
      <c r="V17" s="344">
        <v>2911000000</v>
      </c>
      <c r="W17" s="344">
        <f>G73</f>
        <v>2475000000</v>
      </c>
      <c r="X17" s="343">
        <f t="shared" si="9"/>
        <v>0.85022329096530402</v>
      </c>
      <c r="Y17" s="344">
        <v>2903000000</v>
      </c>
      <c r="Z17" s="344">
        <f>H73</f>
        <v>2700000000</v>
      </c>
      <c r="AA17" s="342">
        <f>IFERROR(Z17/Y17,0%)</f>
        <v>0.93007233895969688</v>
      </c>
      <c r="AB17" s="341">
        <v>2993000000</v>
      </c>
      <c r="AC17" s="344">
        <f>I73</f>
        <v>2813000000</v>
      </c>
      <c r="AD17" s="342">
        <f t="shared" si="10"/>
        <v>0.93985967256932845</v>
      </c>
      <c r="AE17" s="344">
        <v>3363000000</v>
      </c>
      <c r="AF17" s="344">
        <f>J73</f>
        <v>3060000000</v>
      </c>
      <c r="AG17" s="342">
        <f t="shared" si="11"/>
        <v>0.90990187332738626</v>
      </c>
      <c r="AH17" s="344">
        <v>3348000000</v>
      </c>
      <c r="AI17" s="344">
        <f>K73</f>
        <v>3147000000</v>
      </c>
      <c r="AJ17" s="342">
        <f t="shared" si="12"/>
        <v>0.93996415770609321</v>
      </c>
      <c r="AK17" s="344">
        <v>3376000000</v>
      </c>
      <c r="AL17" s="344">
        <f>L73</f>
        <v>2836000000</v>
      </c>
      <c r="AM17" s="342">
        <f t="shared" si="13"/>
        <v>0.84004739336492895</v>
      </c>
      <c r="AN17" s="344">
        <v>3434000000</v>
      </c>
      <c r="AO17" s="344">
        <f>AK45*10^6</f>
        <v>2988000000</v>
      </c>
      <c r="AP17" s="342">
        <f t="shared" si="14"/>
        <v>0.87012230634828192</v>
      </c>
      <c r="AQ17" s="341">
        <f>M17+J17+G17</f>
        <v>5761000000</v>
      </c>
      <c r="AR17" s="341">
        <f t="shared" si="131"/>
        <v>6896000000</v>
      </c>
      <c r="AS17" s="343">
        <f t="shared" si="15"/>
        <v>1.1970144072209685</v>
      </c>
      <c r="AT17" s="341">
        <f t="shared" si="88"/>
        <v>7822000000</v>
      </c>
      <c r="AU17" s="341">
        <f t="shared" si="132"/>
        <v>7316000000</v>
      </c>
      <c r="AV17" s="343">
        <f t="shared" si="17"/>
        <v>0.93531066223472259</v>
      </c>
      <c r="AW17" s="345">
        <f t="shared" si="18"/>
        <v>9259000000</v>
      </c>
      <c r="AX17" s="341">
        <f t="shared" si="90"/>
        <v>8573000000</v>
      </c>
      <c r="AY17" s="343">
        <f t="shared" si="20"/>
        <v>0.9259099254779134</v>
      </c>
      <c r="AZ17" s="345">
        <f t="shared" si="21"/>
        <v>10158000000</v>
      </c>
      <c r="BA17" s="346">
        <f t="shared" si="22"/>
        <v>8971000000</v>
      </c>
      <c r="BB17" s="343">
        <f t="shared" si="23"/>
        <v>0.88314628863949596</v>
      </c>
      <c r="BC17" s="345">
        <f t="shared" si="91"/>
        <v>26190000000</v>
      </c>
      <c r="BD17" s="345">
        <f t="shared" si="92"/>
        <v>28768000000</v>
      </c>
      <c r="BE17" s="343">
        <f t="shared" si="25"/>
        <v>1.098434516991218</v>
      </c>
      <c r="BF17" s="244">
        <f t="shared" si="53"/>
        <v>0.9589333333333333</v>
      </c>
      <c r="BG17" s="39"/>
      <c r="BO17" s="497"/>
      <c r="BP17" s="497" t="s">
        <v>41</v>
      </c>
      <c r="BQ17" s="355" t="s">
        <v>103</v>
      </c>
      <c r="BR17" s="341">
        <f>BU18+BX17+CA17+CD17+CG17+CJ17+CM17+CP17+CS17+CV17+CY17+DB17</f>
        <v>34976000000</v>
      </c>
      <c r="BS17" s="341">
        <f t="shared" ref="BS16:BS18" si="136">BV17+BY17+CB17+CE17+CH17+CK17+CN17+CQ17+CT17+CW17+CZ17+DC17</f>
        <v>0</v>
      </c>
      <c r="BT17" s="342">
        <f t="shared" si="106"/>
        <v>0</v>
      </c>
      <c r="BV17" s="341">
        <f>BX47*10^6</f>
        <v>0</v>
      </c>
      <c r="BW17" s="343">
        <f>IFERROR(BV17/BU18,0%)</f>
        <v>0</v>
      </c>
      <c r="BX17" s="344">
        <v>2201000000</v>
      </c>
      <c r="BY17" s="344"/>
      <c r="BZ17" s="343">
        <f t="shared" si="28"/>
        <v>0</v>
      </c>
      <c r="CA17" s="344">
        <v>1359000000</v>
      </c>
      <c r="CB17" s="344"/>
      <c r="CC17" s="343">
        <f t="shared" si="29"/>
        <v>0</v>
      </c>
      <c r="CD17" s="344">
        <v>2253000000</v>
      </c>
      <c r="CE17" s="344"/>
      <c r="CF17" s="343">
        <f>IFERROR(CE17/#REF!,0%)</f>
        <v>0</v>
      </c>
      <c r="CG17" s="341">
        <v>2658000000</v>
      </c>
      <c r="CH17" s="344"/>
      <c r="CI17" s="342">
        <f t="shared" si="119"/>
        <v>0</v>
      </c>
      <c r="CJ17" s="344">
        <v>2911000000</v>
      </c>
      <c r="CK17" s="344"/>
      <c r="CL17" s="343">
        <f t="shared" si="31"/>
        <v>0</v>
      </c>
      <c r="CM17" s="344">
        <v>2903000000</v>
      </c>
      <c r="CN17" s="344"/>
      <c r="CO17" s="342">
        <f>IFERROR(CN17/CM17,0%)</f>
        <v>0</v>
      </c>
      <c r="CP17" s="341">
        <v>2993000000</v>
      </c>
      <c r="CQ17" s="344"/>
      <c r="CR17" s="342">
        <f t="shared" si="32"/>
        <v>0</v>
      </c>
      <c r="CS17" s="344">
        <v>3363000000</v>
      </c>
      <c r="CT17" s="344"/>
      <c r="CU17" s="342">
        <f t="shared" si="33"/>
        <v>0</v>
      </c>
      <c r="CV17" s="344">
        <v>3348000000</v>
      </c>
      <c r="CW17" s="344"/>
      <c r="CX17" s="342">
        <f t="shared" si="34"/>
        <v>0</v>
      </c>
      <c r="CY17" s="344">
        <v>3376000000</v>
      </c>
      <c r="CZ17" s="344"/>
      <c r="DA17" s="342">
        <f t="shared" si="35"/>
        <v>0</v>
      </c>
      <c r="DB17" s="344">
        <v>3434000000</v>
      </c>
      <c r="DC17" s="344"/>
      <c r="DD17" s="342">
        <f t="shared" si="36"/>
        <v>0</v>
      </c>
      <c r="DE17" s="341">
        <f>CA17+BX17+BU18</f>
        <v>7737000000</v>
      </c>
      <c r="DF17" s="341">
        <f t="shared" si="134"/>
        <v>0</v>
      </c>
      <c r="DG17" s="343">
        <f t="shared" si="37"/>
        <v>0</v>
      </c>
      <c r="DH17" s="341">
        <f t="shared" si="128"/>
        <v>7822000000</v>
      </c>
      <c r="DI17" s="341">
        <f t="shared" si="135"/>
        <v>0</v>
      </c>
      <c r="DJ17" s="343">
        <f t="shared" si="40"/>
        <v>0</v>
      </c>
      <c r="DK17" s="345">
        <f t="shared" si="96"/>
        <v>9259000000</v>
      </c>
      <c r="DL17" s="341">
        <f t="shared" si="129"/>
        <v>0</v>
      </c>
      <c r="DM17" s="343">
        <f t="shared" si="43"/>
        <v>0</v>
      </c>
      <c r="DN17" s="345">
        <f t="shared" si="44"/>
        <v>10158000000</v>
      </c>
      <c r="DO17" s="346">
        <f t="shared" si="45"/>
        <v>0</v>
      </c>
      <c r="DP17" s="343">
        <f t="shared" si="46"/>
        <v>0</v>
      </c>
      <c r="DQ17" s="345">
        <f t="shared" si="98"/>
        <v>28166000000</v>
      </c>
      <c r="DR17" s="345">
        <f t="shared" si="48"/>
        <v>0</v>
      </c>
      <c r="DS17" s="343">
        <f t="shared" si="49"/>
        <v>0</v>
      </c>
      <c r="DT17" s="244">
        <f t="shared" si="99"/>
        <v>0</v>
      </c>
    </row>
    <row r="18" spans="1:124" ht="15">
      <c r="A18" s="498"/>
      <c r="B18" s="498"/>
      <c r="C18" s="355" t="s">
        <v>104</v>
      </c>
      <c r="D18" s="341">
        <f>G18+J18+M18+P18+S18+V18+Y18+AB18+AE18+AH18+AK18+AN18</f>
        <v>40000000000</v>
      </c>
      <c r="E18" s="341">
        <f t="shared" si="130"/>
        <v>61492938600</v>
      </c>
      <c r="F18" s="342">
        <f t="shared" si="4"/>
        <v>1.5373234650000001</v>
      </c>
      <c r="G18" s="344">
        <v>2555000000</v>
      </c>
      <c r="H18" s="344">
        <f>B53</f>
        <v>3926290000</v>
      </c>
      <c r="I18" s="343">
        <f t="shared" si="5"/>
        <v>1.5367084148727985</v>
      </c>
      <c r="J18" s="344">
        <v>1670000000</v>
      </c>
      <c r="K18" s="344">
        <f>C53</f>
        <v>3322690000</v>
      </c>
      <c r="L18" s="343">
        <f t="shared" si="6"/>
        <v>1.9896347305389221</v>
      </c>
      <c r="M18" s="344">
        <v>3145000000</v>
      </c>
      <c r="N18" s="344">
        <f>D53</f>
        <v>5395748102</v>
      </c>
      <c r="O18" s="343">
        <f t="shared" si="7"/>
        <v>1.7156591739268681</v>
      </c>
      <c r="P18" s="344">
        <v>2572000000</v>
      </c>
      <c r="Q18" s="344">
        <f>E53</f>
        <v>4775893098</v>
      </c>
      <c r="R18" s="343">
        <f>IFERROR(Q18/P17,0%)</f>
        <v>2.1197927643142478</v>
      </c>
      <c r="S18" s="341">
        <v>3132000000</v>
      </c>
      <c r="T18" s="344">
        <f>F53</f>
        <v>5487951494</v>
      </c>
      <c r="U18" s="342">
        <f t="shared" si="8"/>
        <v>1.752219506385696</v>
      </c>
      <c r="V18" s="344">
        <v>3749000000</v>
      </c>
      <c r="W18" s="344">
        <f>G53</f>
        <v>4656591694</v>
      </c>
      <c r="X18" s="343">
        <f t="shared" si="9"/>
        <v>1.2420890088023473</v>
      </c>
      <c r="Y18" s="344">
        <v>4298000000</v>
      </c>
      <c r="Z18" s="344">
        <f>H53</f>
        <v>5257033201</v>
      </c>
      <c r="AA18" s="342">
        <f>IFERROR(Z18/Y18,0%)</f>
        <v>1.2231347605863192</v>
      </c>
      <c r="AB18" s="341">
        <v>4147000000</v>
      </c>
      <c r="AC18" s="344">
        <f>I53</f>
        <v>4768722620</v>
      </c>
      <c r="AD18" s="342">
        <f t="shared" si="10"/>
        <v>1.149921056185194</v>
      </c>
      <c r="AE18" s="344">
        <v>3232000000</v>
      </c>
      <c r="AF18" s="344">
        <f>J53</f>
        <v>5752881214</v>
      </c>
      <c r="AG18" s="342">
        <f t="shared" si="11"/>
        <v>1.7799756231435644</v>
      </c>
      <c r="AH18" s="344">
        <v>4532000000</v>
      </c>
      <c r="AI18" s="344">
        <f>K53</f>
        <v>6658149067</v>
      </c>
      <c r="AJ18" s="342">
        <f t="shared" si="12"/>
        <v>1.4691414534421889</v>
      </c>
      <c r="AK18" s="344">
        <v>3484000000</v>
      </c>
      <c r="AL18" s="344">
        <f>L53</f>
        <v>5713394672</v>
      </c>
      <c r="AM18" s="342">
        <f t="shared" si="13"/>
        <v>1.639895141216992</v>
      </c>
      <c r="AN18" s="344">
        <v>3484000000</v>
      </c>
      <c r="AO18" s="344">
        <f>M53</f>
        <v>5777593438</v>
      </c>
      <c r="AP18" s="342">
        <f t="shared" si="14"/>
        <v>1.6583218823191734</v>
      </c>
      <c r="AQ18" s="341">
        <f>M18+J18+G18</f>
        <v>7370000000</v>
      </c>
      <c r="AR18" s="341">
        <f t="shared" si="131"/>
        <v>12644728102</v>
      </c>
      <c r="AS18" s="343">
        <f t="shared" si="15"/>
        <v>1.7157025918588873</v>
      </c>
      <c r="AT18" s="341">
        <f t="shared" si="88"/>
        <v>9453000000</v>
      </c>
      <c r="AU18" s="341">
        <f t="shared" si="132"/>
        <v>14920436286</v>
      </c>
      <c r="AV18" s="343">
        <f t="shared" si="17"/>
        <v>1.5783810733100603</v>
      </c>
      <c r="AW18" s="341">
        <f t="shared" si="18"/>
        <v>11677000000</v>
      </c>
      <c r="AX18" s="341">
        <f t="shared" si="90"/>
        <v>15778637035</v>
      </c>
      <c r="AY18" s="343">
        <f t="shared" si="20"/>
        <v>1.3512577746852787</v>
      </c>
      <c r="AZ18" s="341">
        <f t="shared" si="21"/>
        <v>11500000000</v>
      </c>
      <c r="BA18" s="341">
        <f t="shared" si="22"/>
        <v>18149137177</v>
      </c>
      <c r="BB18" s="343">
        <f t="shared" si="23"/>
        <v>1.5781858414782608</v>
      </c>
      <c r="BC18" s="341">
        <f t="shared" si="91"/>
        <v>33032000000</v>
      </c>
      <c r="BD18" s="341">
        <f t="shared" si="92"/>
        <v>55715345162</v>
      </c>
      <c r="BE18" s="343">
        <f t="shared" si="25"/>
        <v>1.6867081969605231</v>
      </c>
      <c r="BF18" s="244">
        <f t="shared" si="53"/>
        <v>1.5321719919549999</v>
      </c>
      <c r="BG18" s="39"/>
      <c r="BO18" s="498"/>
      <c r="BP18" s="498"/>
      <c r="BQ18" s="355" t="s">
        <v>104</v>
      </c>
      <c r="BR18" s="341">
        <f>BU18+BX18+CA18+CD18+CG18+CJ18+CM18+CP18+CS18+CV18+CY18+DB18</f>
        <v>41622000000</v>
      </c>
      <c r="BS18" s="341">
        <f t="shared" si="136"/>
        <v>1470000000</v>
      </c>
      <c r="BT18" s="342">
        <f t="shared" si="106"/>
        <v>3.5317860746720484E-2</v>
      </c>
      <c r="BU18" s="344">
        <v>4177000000</v>
      </c>
      <c r="BV18" s="341">
        <f>BX46*10^6</f>
        <v>1470000000</v>
      </c>
      <c r="BW18" s="343">
        <f>IFERROR(BV18/#REF!,0%)</f>
        <v>0</v>
      </c>
      <c r="BX18" s="344">
        <v>1670000000</v>
      </c>
      <c r="BY18" s="344"/>
      <c r="BZ18" s="343">
        <f t="shared" si="28"/>
        <v>0</v>
      </c>
      <c r="CA18" s="344">
        <v>3145000000</v>
      </c>
      <c r="CB18" s="344"/>
      <c r="CC18" s="343">
        <f t="shared" si="29"/>
        <v>0</v>
      </c>
      <c r="CD18" s="344">
        <v>2572000000</v>
      </c>
      <c r="CE18" s="344"/>
      <c r="CF18" s="343">
        <f>IFERROR(CE18/CD17,0%)</f>
        <v>0</v>
      </c>
      <c r="CG18" s="341">
        <v>3132000000</v>
      </c>
      <c r="CH18" s="344"/>
      <c r="CI18" s="342">
        <f t="shared" si="119"/>
        <v>0</v>
      </c>
      <c r="CJ18" s="344">
        <v>3749000000</v>
      </c>
      <c r="CK18" s="344"/>
      <c r="CL18" s="343">
        <f t="shared" si="31"/>
        <v>0</v>
      </c>
      <c r="CM18" s="344">
        <v>4298000000</v>
      </c>
      <c r="CN18" s="344"/>
      <c r="CO18" s="342">
        <f>IFERROR(CN18/CM18,0%)</f>
        <v>0</v>
      </c>
      <c r="CP18" s="341">
        <v>4147000000</v>
      </c>
      <c r="CQ18" s="344"/>
      <c r="CR18" s="342">
        <f t="shared" si="32"/>
        <v>0</v>
      </c>
      <c r="CS18" s="344">
        <v>3232000000</v>
      </c>
      <c r="CT18" s="344"/>
      <c r="CU18" s="342">
        <f t="shared" si="33"/>
        <v>0</v>
      </c>
      <c r="CV18" s="344">
        <v>4532000000</v>
      </c>
      <c r="CW18" s="344"/>
      <c r="CX18" s="342">
        <f t="shared" si="34"/>
        <v>0</v>
      </c>
      <c r="CY18" s="344">
        <v>3484000000</v>
      </c>
      <c r="CZ18" s="344"/>
      <c r="DA18" s="342">
        <f t="shared" si="35"/>
        <v>0</v>
      </c>
      <c r="DB18" s="344">
        <v>3484000000</v>
      </c>
      <c r="DC18" s="344"/>
      <c r="DD18" s="342">
        <f t="shared" si="36"/>
        <v>0</v>
      </c>
      <c r="DE18" s="341">
        <f>CA18+BX18+BU19</f>
        <v>10605000000</v>
      </c>
      <c r="DF18" s="341">
        <f t="shared" si="134"/>
        <v>1470000000</v>
      </c>
      <c r="DG18" s="343">
        <f t="shared" si="37"/>
        <v>0.13861386138613863</v>
      </c>
      <c r="DH18" s="341">
        <f t="shared" si="128"/>
        <v>9453000000</v>
      </c>
      <c r="DI18" s="341">
        <f t="shared" si="135"/>
        <v>0</v>
      </c>
      <c r="DJ18" s="343">
        <f t="shared" si="40"/>
        <v>0</v>
      </c>
      <c r="DK18" s="341">
        <f t="shared" si="96"/>
        <v>11677000000</v>
      </c>
      <c r="DL18" s="341">
        <f t="shared" si="129"/>
        <v>0</v>
      </c>
      <c r="DM18" s="343">
        <f t="shared" si="43"/>
        <v>0</v>
      </c>
      <c r="DN18" s="341">
        <f t="shared" si="44"/>
        <v>11500000000</v>
      </c>
      <c r="DO18" s="341">
        <f t="shared" si="45"/>
        <v>0</v>
      </c>
      <c r="DP18" s="343">
        <f t="shared" si="46"/>
        <v>0</v>
      </c>
      <c r="DQ18" s="341">
        <f t="shared" si="98"/>
        <v>36267000000</v>
      </c>
      <c r="DR18" s="341">
        <f t="shared" si="48"/>
        <v>1470000000</v>
      </c>
      <c r="DS18" s="343">
        <f t="shared" si="49"/>
        <v>4.0532715691951361E-2</v>
      </c>
      <c r="DT18" s="244">
        <f t="shared" si="99"/>
        <v>3.8849646821392532E-2</v>
      </c>
    </row>
    <row r="19" spans="1:124" ht="15">
      <c r="A19" s="525" t="s">
        <v>105</v>
      </c>
      <c r="B19" s="526"/>
      <c r="C19" s="526"/>
      <c r="D19" s="338">
        <f>SUM(D15:D18)</f>
        <v>114000000000</v>
      </c>
      <c r="E19" s="338">
        <f>SUM(E15:E18)</f>
        <v>133290867583</v>
      </c>
      <c r="F19" s="339">
        <f t="shared" si="4"/>
        <v>1.1692181366929824</v>
      </c>
      <c r="G19" s="338">
        <f t="shared" ref="G19:H19" si="137">SUM(G15:G18)</f>
        <v>7212000000</v>
      </c>
      <c r="H19" s="338">
        <f t="shared" si="137"/>
        <v>8233731419</v>
      </c>
      <c r="I19" s="340">
        <f t="shared" si="5"/>
        <v>1.1416710231558513</v>
      </c>
      <c r="J19" s="338">
        <f t="shared" ref="J19:K19" si="138">SUM(J15:J18)</f>
        <v>6513000000</v>
      </c>
      <c r="K19" s="338">
        <f t="shared" si="138"/>
        <v>8374081570</v>
      </c>
      <c r="L19" s="340">
        <f t="shared" si="6"/>
        <v>1.2857487440503608</v>
      </c>
      <c r="M19" s="338">
        <f t="shared" ref="M19:Q19" si="139">SUM(M15:M18)</f>
        <v>8066000000</v>
      </c>
      <c r="N19" s="338">
        <f t="shared" si="139"/>
        <v>10108896920</v>
      </c>
      <c r="O19" s="340">
        <f t="shared" si="7"/>
        <v>1.2532726159186709</v>
      </c>
      <c r="P19" s="338">
        <f t="shared" si="139"/>
        <v>8034000000</v>
      </c>
      <c r="Q19" s="338">
        <f t="shared" si="139"/>
        <v>8832741412</v>
      </c>
      <c r="R19" s="340">
        <f t="shared" si="51"/>
        <v>1.0994201409011701</v>
      </c>
      <c r="S19" s="338">
        <f t="shared" ref="S19:T19" si="140">SUM(S15:S18)</f>
        <v>8303000000</v>
      </c>
      <c r="T19" s="338">
        <f t="shared" si="140"/>
        <v>10534564630</v>
      </c>
      <c r="U19" s="339">
        <f t="shared" si="8"/>
        <v>1.2687660640732266</v>
      </c>
      <c r="V19" s="338">
        <f t="shared" ref="V19:W19" si="141">SUM(V15:V18)</f>
        <v>10048000000</v>
      </c>
      <c r="W19" s="338">
        <f t="shared" si="141"/>
        <v>9782543417</v>
      </c>
      <c r="X19" s="340">
        <f t="shared" si="9"/>
        <v>0.97358115216958596</v>
      </c>
      <c r="Y19" s="338">
        <f t="shared" ref="Y19:Z19" si="142">SUM(Y15:Y18)</f>
        <v>10411000000</v>
      </c>
      <c r="Z19" s="338">
        <f t="shared" si="142"/>
        <v>11565758024</v>
      </c>
      <c r="AA19" s="339">
        <f>IFERROR(Z19/Y19,0%)</f>
        <v>1.110917109211411</v>
      </c>
      <c r="AB19" s="338">
        <f t="shared" ref="AB19:AC19" si="143">SUM(AB15:AB18)</f>
        <v>10662000000</v>
      </c>
      <c r="AC19" s="338">
        <v>10094000000</v>
      </c>
      <c r="AD19" s="339">
        <f>IFERROR(AC19/AB19,0%)</f>
        <v>0.94672669292815603</v>
      </c>
      <c r="AE19" s="338">
        <f t="shared" ref="AE19:AF19" si="144">SUM(AE15:AE18)</f>
        <v>9786000000</v>
      </c>
      <c r="AF19" s="338">
        <f t="shared" si="144"/>
        <v>12177069878</v>
      </c>
      <c r="AG19" s="339">
        <f t="shared" si="11"/>
        <v>1.2443357733496831</v>
      </c>
      <c r="AH19" s="338">
        <f t="shared" ref="AH19:AI19" si="145">SUM(AH15:AH18)</f>
        <v>11805000000</v>
      </c>
      <c r="AI19" s="338">
        <f t="shared" si="145"/>
        <v>14565747030</v>
      </c>
      <c r="AJ19" s="339">
        <f t="shared" si="12"/>
        <v>1.2338625184243965</v>
      </c>
      <c r="AK19" s="338">
        <f t="shared" ref="AK19:AL19" si="146">SUM(AK15:AK18)</f>
        <v>11551000000</v>
      </c>
      <c r="AL19" s="338">
        <f t="shared" si="146"/>
        <v>13927434981</v>
      </c>
      <c r="AM19" s="339">
        <f t="shared" si="13"/>
        <v>1.2057341339277985</v>
      </c>
      <c r="AN19" s="338">
        <f t="shared" ref="AN19:AO19" si="147">SUM(AN15:AN18)</f>
        <v>11609000000</v>
      </c>
      <c r="AO19" s="338">
        <f t="shared" si="147"/>
        <v>13772802566</v>
      </c>
      <c r="AP19" s="339">
        <f t="shared" si="14"/>
        <v>1.1863900909639074</v>
      </c>
      <c r="AQ19" s="338">
        <f t="shared" ref="AQ19:AR19" si="148">SUM(AQ15:AQ18)</f>
        <v>21791000000</v>
      </c>
      <c r="AR19" s="338">
        <f t="shared" si="148"/>
        <v>26716709909</v>
      </c>
      <c r="AS19" s="340">
        <f t="shared" si="15"/>
        <v>1.2260433164609241</v>
      </c>
      <c r="AT19" s="338">
        <f t="shared" si="88"/>
        <v>26385000000</v>
      </c>
      <c r="AU19" s="338">
        <f t="shared" ref="AU19" si="149">SUM(AU15:AU18)</f>
        <v>29149849459</v>
      </c>
      <c r="AV19" s="340">
        <f t="shared" si="17"/>
        <v>1.1047886851999242</v>
      </c>
      <c r="AW19" s="338">
        <f t="shared" si="18"/>
        <v>30859000000</v>
      </c>
      <c r="AX19" s="338">
        <f t="shared" ref="AX19" si="150">SUM(AX15:AX18)</f>
        <v>35158323638</v>
      </c>
      <c r="AY19" s="340">
        <f t="shared" si="20"/>
        <v>1.1393215476198191</v>
      </c>
      <c r="AZ19" s="338">
        <f t="shared" si="21"/>
        <v>34965000000</v>
      </c>
      <c r="BA19" s="338">
        <f t="shared" si="22"/>
        <v>42265984577</v>
      </c>
      <c r="BB19" s="340">
        <f t="shared" si="23"/>
        <v>1.2088083677105677</v>
      </c>
      <c r="BC19" s="338">
        <f t="shared" si="91"/>
        <v>90840000000</v>
      </c>
      <c r="BD19" s="338">
        <f t="shared" si="92"/>
        <v>119518065017</v>
      </c>
      <c r="BE19" s="340">
        <f t="shared" si="25"/>
        <v>1.3156986461580802</v>
      </c>
      <c r="BF19" s="244">
        <f t="shared" si="53"/>
        <v>1.1532444870061402</v>
      </c>
      <c r="BG19" s="39"/>
      <c r="BO19" s="525" t="s">
        <v>105</v>
      </c>
      <c r="BP19" s="526"/>
      <c r="BQ19" s="526"/>
      <c r="BR19" s="338">
        <f>SUM(BR15:BR18)</f>
        <v>116755000000</v>
      </c>
      <c r="BS19" s="338">
        <f>SUM(BS15:BS18)</f>
        <v>2270000000</v>
      </c>
      <c r="BT19" s="339">
        <f t="shared" si="106"/>
        <v>1.9442422166074259E-2</v>
      </c>
      <c r="BU19" s="338">
        <f>SUM(BU15:BU18)</f>
        <v>5790000000</v>
      </c>
      <c r="BV19" s="338">
        <f t="shared" ref="BV19" si="151">SUM(BV15:BV18)</f>
        <v>2270000000</v>
      </c>
      <c r="BW19" s="340">
        <f t="shared" si="93"/>
        <v>0.39205526770293608</v>
      </c>
      <c r="BX19" s="338">
        <f t="shared" ref="BX19:BY19" si="152">SUM(BX15:BX18)</f>
        <v>6513000000</v>
      </c>
      <c r="BY19" s="338"/>
      <c r="BZ19" s="340">
        <f t="shared" si="28"/>
        <v>0</v>
      </c>
      <c r="CA19" s="338">
        <f t="shared" ref="CA19:CE19" si="153">SUM(CA15:CA18)</f>
        <v>8066000000</v>
      </c>
      <c r="CB19" s="338"/>
      <c r="CC19" s="340">
        <f t="shared" si="29"/>
        <v>0</v>
      </c>
      <c r="CD19" s="338">
        <f t="shared" ref="CD19:CH19" si="154">SUM(CD15:CD18)</f>
        <v>8034000000</v>
      </c>
      <c r="CE19" s="338"/>
      <c r="CF19" s="340">
        <f t="shared" ref="CF19:CF39" si="155">IFERROR(CE19/CD19,0%)</f>
        <v>0</v>
      </c>
      <c r="CG19" s="338">
        <f t="shared" ref="CG19:CH19" si="156">SUM(CG15:CG18)</f>
        <v>8303000000</v>
      </c>
      <c r="CH19" s="338"/>
      <c r="CI19" s="339">
        <f t="shared" si="119"/>
        <v>0</v>
      </c>
      <c r="CJ19" s="338">
        <f t="shared" ref="CJ19:CK19" si="157">SUM(CJ15:CJ18)</f>
        <v>10048000000</v>
      </c>
      <c r="CK19" s="338"/>
      <c r="CL19" s="340">
        <f t="shared" si="31"/>
        <v>0</v>
      </c>
      <c r="CM19" s="338">
        <f t="shared" ref="CM19:CN19" si="158">SUM(CM15:CM18)</f>
        <v>10411000000</v>
      </c>
      <c r="CN19" s="338"/>
      <c r="CO19" s="339">
        <f>IFERROR(CN19/CM19,0%)</f>
        <v>0</v>
      </c>
      <c r="CP19" s="338">
        <f t="shared" ref="CP19:CQ19" si="159">SUM(CP15:CP18)</f>
        <v>10662000000</v>
      </c>
      <c r="CQ19" s="338"/>
      <c r="CR19" s="339">
        <f>IFERROR(CQ19/CP19,0%)</f>
        <v>0</v>
      </c>
      <c r="CS19" s="338">
        <f t="shared" ref="CS19:CT19" si="160">SUM(CS15:CS18)</f>
        <v>9786000000</v>
      </c>
      <c r="CT19" s="338"/>
      <c r="CU19" s="339">
        <f t="shared" si="33"/>
        <v>0</v>
      </c>
      <c r="CV19" s="338">
        <f t="shared" ref="CV19:CW19" si="161">SUM(CV15:CV18)</f>
        <v>11805000000</v>
      </c>
      <c r="CW19" s="338"/>
      <c r="CX19" s="339">
        <f t="shared" si="34"/>
        <v>0</v>
      </c>
      <c r="CY19" s="338">
        <f t="shared" ref="CY19:CZ19" si="162">SUM(CY15:CY18)</f>
        <v>11551000000</v>
      </c>
      <c r="CZ19" s="338"/>
      <c r="DA19" s="339">
        <f t="shared" si="35"/>
        <v>0</v>
      </c>
      <c r="DB19" s="338">
        <f t="shared" ref="DB19:DC19" si="163">SUM(DB15:DB18)</f>
        <v>11609000000</v>
      </c>
      <c r="DC19" s="338"/>
      <c r="DD19" s="339">
        <f t="shared" si="36"/>
        <v>0</v>
      </c>
      <c r="DE19" s="338">
        <f t="shared" ref="DE19:DF19" si="164">SUM(DE15:DE18)</f>
        <v>26159000000</v>
      </c>
      <c r="DF19" s="338">
        <f t="shared" si="164"/>
        <v>2270000000</v>
      </c>
      <c r="DG19" s="340">
        <f t="shared" si="37"/>
        <v>8.6777017470086773E-2</v>
      </c>
      <c r="DH19" s="338">
        <f t="shared" si="128"/>
        <v>26385000000</v>
      </c>
      <c r="DI19" s="338">
        <f t="shared" ref="DI19" si="165">SUM(DI15:DI18)</f>
        <v>0</v>
      </c>
      <c r="DJ19" s="340">
        <f t="shared" si="40"/>
        <v>0</v>
      </c>
      <c r="DK19" s="338">
        <f t="shared" si="96"/>
        <v>30859000000</v>
      </c>
      <c r="DL19" s="338">
        <f t="shared" ref="DL19" si="166">SUM(DL15:DL18)</f>
        <v>0</v>
      </c>
      <c r="DM19" s="340">
        <f t="shared" si="43"/>
        <v>0</v>
      </c>
      <c r="DN19" s="338">
        <f t="shared" si="44"/>
        <v>34965000000</v>
      </c>
      <c r="DO19" s="338">
        <f t="shared" si="45"/>
        <v>0</v>
      </c>
      <c r="DP19" s="340">
        <f t="shared" si="46"/>
        <v>0</v>
      </c>
      <c r="DQ19" s="338">
        <f t="shared" si="98"/>
        <v>95208000000</v>
      </c>
      <c r="DR19" s="338">
        <f t="shared" si="48"/>
        <v>2270000000</v>
      </c>
      <c r="DS19" s="340">
        <f t="shared" si="49"/>
        <v>2.3842534240820099E-2</v>
      </c>
      <c r="DT19" s="244">
        <f t="shared" si="99"/>
        <v>2.1386664382681685E-2</v>
      </c>
    </row>
    <row r="20" spans="1:124" ht="15">
      <c r="A20" s="494" t="s">
        <v>8</v>
      </c>
      <c r="B20" s="503" t="s">
        <v>38</v>
      </c>
      <c r="C20" s="355" t="s">
        <v>39</v>
      </c>
      <c r="D20" s="341">
        <f>G20+J20+M20+P20+S20+V20+Y20+AB20+AE20+AH20+AK20+AN20</f>
        <v>0</v>
      </c>
      <c r="E20" s="341">
        <f>H20+K20+N20+Q20+T20+W20+Z20+AC20+AF20+AI20+AL20+AO20</f>
        <v>675959000</v>
      </c>
      <c r="F20" s="342">
        <f t="shared" si="4"/>
        <v>0</v>
      </c>
      <c r="G20" s="341">
        <v>0</v>
      </c>
      <c r="H20" s="341">
        <f>E65</f>
        <v>82800000</v>
      </c>
      <c r="I20" s="343">
        <f t="shared" si="5"/>
        <v>0</v>
      </c>
      <c r="J20" s="344">
        <v>0</v>
      </c>
      <c r="K20" s="341">
        <v>0</v>
      </c>
      <c r="L20" s="343">
        <f t="shared" si="6"/>
        <v>0</v>
      </c>
      <c r="M20" s="344">
        <v>0</v>
      </c>
      <c r="N20" s="341">
        <v>0</v>
      </c>
      <c r="O20" s="343">
        <f t="shared" si="7"/>
        <v>0</v>
      </c>
      <c r="P20" s="347"/>
      <c r="Q20" s="96">
        <v>82800000</v>
      </c>
      <c r="R20" s="343">
        <f>IFERROR(Q20/P18,0%)</f>
        <v>3.2192846034214621E-2</v>
      </c>
      <c r="S20" s="341">
        <v>0</v>
      </c>
      <c r="T20" s="341">
        <v>0</v>
      </c>
      <c r="U20" s="342">
        <f t="shared" si="8"/>
        <v>0</v>
      </c>
      <c r="V20" s="344">
        <v>0</v>
      </c>
      <c r="W20" s="341">
        <v>0</v>
      </c>
      <c r="X20" s="343">
        <f t="shared" si="9"/>
        <v>0</v>
      </c>
      <c r="Y20" s="344"/>
      <c r="Z20" s="341">
        <v>0</v>
      </c>
      <c r="AA20" s="342">
        <f>IFERROR(Z20/Y20,0%)</f>
        <v>0</v>
      </c>
      <c r="AB20" s="344"/>
      <c r="AC20" s="341">
        <f>I65</f>
        <v>350767000</v>
      </c>
      <c r="AD20" s="342">
        <f t="shared" si="10"/>
        <v>0</v>
      </c>
      <c r="AE20" s="341"/>
      <c r="AF20" s="341">
        <f>J65</f>
        <v>132072000</v>
      </c>
      <c r="AG20" s="342">
        <f t="shared" si="11"/>
        <v>0</v>
      </c>
      <c r="AH20" s="341">
        <v>0</v>
      </c>
      <c r="AI20" s="341">
        <f>K65</f>
        <v>27520000</v>
      </c>
      <c r="AJ20" s="342">
        <f t="shared" si="12"/>
        <v>0</v>
      </c>
      <c r="AK20" s="344">
        <v>0</v>
      </c>
      <c r="AL20" s="344">
        <f>AN42*10^6</f>
        <v>0</v>
      </c>
      <c r="AM20" s="342">
        <f t="shared" si="13"/>
        <v>0</v>
      </c>
      <c r="AN20" s="344"/>
      <c r="AO20" s="344"/>
      <c r="AP20" s="342">
        <f t="shared" si="14"/>
        <v>0</v>
      </c>
      <c r="AQ20" s="341">
        <v>0</v>
      </c>
      <c r="AR20" s="341">
        <v>0</v>
      </c>
      <c r="AS20" s="343">
        <f t="shared" si="15"/>
        <v>0</v>
      </c>
      <c r="AT20" s="341"/>
      <c r="AU20" s="341">
        <f t="shared" si="89"/>
        <v>82800000</v>
      </c>
      <c r="AV20" s="343">
        <f t="shared" si="17"/>
        <v>0</v>
      </c>
      <c r="AW20" s="341">
        <f t="shared" si="18"/>
        <v>0</v>
      </c>
      <c r="AX20" s="341">
        <f t="shared" si="90"/>
        <v>482839000</v>
      </c>
      <c r="AY20" s="343">
        <f t="shared" si="20"/>
        <v>0</v>
      </c>
      <c r="AZ20" s="341">
        <f t="shared" si="21"/>
        <v>0</v>
      </c>
      <c r="BA20" s="341">
        <f t="shared" si="22"/>
        <v>27520000</v>
      </c>
      <c r="BB20" s="343">
        <f t="shared" si="23"/>
        <v>0</v>
      </c>
      <c r="BC20" s="341">
        <f t="shared" si="91"/>
        <v>0</v>
      </c>
      <c r="BD20" s="341">
        <f t="shared" si="92"/>
        <v>593159000</v>
      </c>
      <c r="BE20" s="343">
        <f t="shared" si="25"/>
        <v>0</v>
      </c>
      <c r="BF20" s="244"/>
      <c r="BG20" s="39"/>
      <c r="BO20" s="494" t="s">
        <v>8</v>
      </c>
      <c r="BP20" s="503" t="s">
        <v>38</v>
      </c>
      <c r="BQ20" s="355" t="s">
        <v>39</v>
      </c>
      <c r="BR20" s="341">
        <f>BU20+BX20+CA20+CD20+CG20+CJ20+CM20+CP20+CS20+CV20+CY20+DB20</f>
        <v>392000000</v>
      </c>
      <c r="BS20" s="341">
        <f>BV20+BY20+CB20+CE20+CH20+CK20+CN20+CQ20+CT20+CW20+CZ20+DC20</f>
        <v>0</v>
      </c>
      <c r="BT20" s="342">
        <f t="shared" si="106"/>
        <v>0</v>
      </c>
      <c r="BU20" s="341">
        <v>392000000</v>
      </c>
      <c r="BV20" s="341">
        <f>CA44*10^6</f>
        <v>0</v>
      </c>
      <c r="BW20" s="343">
        <f t="shared" si="93"/>
        <v>0</v>
      </c>
      <c r="BX20" s="344">
        <v>0</v>
      </c>
      <c r="BY20" s="341"/>
      <c r="BZ20" s="343">
        <f t="shared" si="28"/>
        <v>0</v>
      </c>
      <c r="CA20" s="344">
        <v>0</v>
      </c>
      <c r="CB20" s="341"/>
      <c r="CC20" s="343">
        <f t="shared" si="29"/>
        <v>0</v>
      </c>
      <c r="CD20" s="347"/>
      <c r="CE20" s="341"/>
      <c r="CF20" s="343">
        <f>IFERROR(CE20/CD18,0%)</f>
        <v>0</v>
      </c>
      <c r="CG20" s="341">
        <v>0</v>
      </c>
      <c r="CH20" s="341"/>
      <c r="CI20" s="342">
        <f t="shared" si="119"/>
        <v>0</v>
      </c>
      <c r="CJ20" s="344">
        <v>0</v>
      </c>
      <c r="CK20" s="341"/>
      <c r="CL20" s="343">
        <f t="shared" si="31"/>
        <v>0</v>
      </c>
      <c r="CM20" s="344"/>
      <c r="CN20" s="341"/>
      <c r="CO20" s="342">
        <f>IFERROR(CN20/CM20,0%)</f>
        <v>0</v>
      </c>
      <c r="CP20" s="344"/>
      <c r="CQ20" s="341"/>
      <c r="CR20" s="342">
        <f t="shared" ref="CR20:CR39" si="167">IFERROR(CQ20/CP20,0%)</f>
        <v>0</v>
      </c>
      <c r="CS20" s="341"/>
      <c r="CT20" s="341"/>
      <c r="CU20" s="342">
        <f t="shared" si="33"/>
        <v>0</v>
      </c>
      <c r="CV20" s="341">
        <v>0</v>
      </c>
      <c r="CW20" s="341"/>
      <c r="CX20" s="342">
        <f t="shared" si="34"/>
        <v>0</v>
      </c>
      <c r="CY20" s="344">
        <v>0</v>
      </c>
      <c r="CZ20" s="344"/>
      <c r="DA20" s="342">
        <f t="shared" si="35"/>
        <v>0</v>
      </c>
      <c r="DB20" s="344"/>
      <c r="DC20" s="344"/>
      <c r="DD20" s="342">
        <f t="shared" si="36"/>
        <v>0</v>
      </c>
      <c r="DE20" s="341">
        <v>0</v>
      </c>
      <c r="DF20" s="341">
        <v>0</v>
      </c>
      <c r="DG20" s="343">
        <f t="shared" si="37"/>
        <v>0</v>
      </c>
      <c r="DH20" s="341"/>
      <c r="DI20" s="341">
        <f t="shared" ref="DI20:DI39" si="168">CE20+CH20+CK20</f>
        <v>0</v>
      </c>
      <c r="DJ20" s="343">
        <f t="shared" si="40"/>
        <v>0</v>
      </c>
      <c r="DK20" s="341">
        <f t="shared" si="96"/>
        <v>0</v>
      </c>
      <c r="DL20" s="341">
        <f t="shared" ref="DL20:DL39" si="169">CN20+CQ20+CT20</f>
        <v>0</v>
      </c>
      <c r="DM20" s="343">
        <f t="shared" si="43"/>
        <v>0</v>
      </c>
      <c r="DN20" s="341">
        <f t="shared" si="44"/>
        <v>0</v>
      </c>
      <c r="DO20" s="341">
        <f t="shared" si="45"/>
        <v>0</v>
      </c>
      <c r="DP20" s="343">
        <f t="shared" si="46"/>
        <v>0</v>
      </c>
      <c r="DQ20" s="341">
        <f t="shared" si="98"/>
        <v>0</v>
      </c>
      <c r="DR20" s="341">
        <f t="shared" si="48"/>
        <v>0</v>
      </c>
      <c r="DS20" s="343">
        <f t="shared" si="49"/>
        <v>0</v>
      </c>
      <c r="DT20" s="244"/>
    </row>
    <row r="21" spans="1:124" ht="15">
      <c r="A21" s="495"/>
      <c r="B21" s="504"/>
      <c r="C21" s="355" t="s">
        <v>40</v>
      </c>
      <c r="D21" s="341">
        <f>G21+J21+M21+P21+S21+V21+Y21+AB21+AE21+AH21+AK21+AN21</f>
        <v>60000000000</v>
      </c>
      <c r="E21" s="341">
        <f t="shared" ref="E20:E23" si="170">H21+K21+N21+Q21+T21+W21+Z21+AC21+AF21+AI21+AL21+AO21</f>
        <v>55229708399</v>
      </c>
      <c r="F21" s="342">
        <f t="shared" si="4"/>
        <v>0.92049513998333332</v>
      </c>
      <c r="G21" s="341">
        <v>1400000000</v>
      </c>
      <c r="H21" s="341">
        <f>B46</f>
        <v>2625120771</v>
      </c>
      <c r="I21" s="343">
        <f t="shared" si="5"/>
        <v>1.875086265</v>
      </c>
      <c r="J21" s="344">
        <v>2323000000</v>
      </c>
      <c r="K21" s="341">
        <f>C46</f>
        <v>2017762685</v>
      </c>
      <c r="L21" s="343">
        <f t="shared" si="6"/>
        <v>0.86860210288420148</v>
      </c>
      <c r="M21" s="344">
        <v>3050000000</v>
      </c>
      <c r="N21" s="341">
        <f>D46</f>
        <v>4948131587</v>
      </c>
      <c r="O21" s="343">
        <f t="shared" si="7"/>
        <v>1.6223382252459015</v>
      </c>
      <c r="P21" s="344">
        <v>4097000000</v>
      </c>
      <c r="Q21" s="341">
        <f>E46</f>
        <v>4153258146</v>
      </c>
      <c r="R21" s="343">
        <f t="shared" si="51"/>
        <v>1.0137315464974372</v>
      </c>
      <c r="S21" s="341">
        <v>4346000000</v>
      </c>
      <c r="T21" s="341">
        <f>F46</f>
        <v>4477744300</v>
      </c>
      <c r="U21" s="342">
        <f t="shared" si="8"/>
        <v>1.0303139208467555</v>
      </c>
      <c r="V21" s="344">
        <v>4440000000</v>
      </c>
      <c r="W21" s="341">
        <f>G46</f>
        <v>4367964941</v>
      </c>
      <c r="X21" s="343">
        <f t="shared" si="9"/>
        <v>0.98377588761261259</v>
      </c>
      <c r="Y21" s="344">
        <v>6586000000</v>
      </c>
      <c r="Z21" s="341">
        <f>H46</f>
        <v>5285255641</v>
      </c>
      <c r="AA21" s="342">
        <f>IFERROR(Z21/Y21,0%)</f>
        <v>0.80249857895535981</v>
      </c>
      <c r="AB21" s="344">
        <v>6369000000</v>
      </c>
      <c r="AC21" s="341">
        <f>I46</f>
        <v>3997113517</v>
      </c>
      <c r="AD21" s="342">
        <f t="shared" si="10"/>
        <v>0.6275888706233318</v>
      </c>
      <c r="AE21" s="341">
        <v>5672000000</v>
      </c>
      <c r="AF21" s="341">
        <f>J46</f>
        <v>4436287662</v>
      </c>
      <c r="AG21" s="342">
        <f t="shared" si="11"/>
        <v>0.78213816325811003</v>
      </c>
      <c r="AH21" s="341">
        <v>6257000000</v>
      </c>
      <c r="AI21" s="341">
        <f>K46</f>
        <v>5795009294</v>
      </c>
      <c r="AJ21" s="342">
        <f t="shared" si="12"/>
        <v>0.92616418315486659</v>
      </c>
      <c r="AK21" s="344">
        <v>7309000000</v>
      </c>
      <c r="AL21" s="344">
        <f>L46</f>
        <v>6489488516</v>
      </c>
      <c r="AM21" s="342">
        <f t="shared" si="13"/>
        <v>0.88787638746750586</v>
      </c>
      <c r="AN21" s="344">
        <v>8151000000</v>
      </c>
      <c r="AO21" s="344">
        <f>M46</f>
        <v>6636571339</v>
      </c>
      <c r="AP21" s="342">
        <f t="shared" si="14"/>
        <v>0.81420332953011898</v>
      </c>
      <c r="AQ21" s="341">
        <f>M21+J21+G21</f>
        <v>6773000000</v>
      </c>
      <c r="AR21" s="341">
        <f>N21+K21+H21</f>
        <v>9591015043</v>
      </c>
      <c r="AS21" s="343">
        <f t="shared" si="15"/>
        <v>1.4160660036911266</v>
      </c>
      <c r="AT21" s="341">
        <f t="shared" si="88"/>
        <v>12883000000</v>
      </c>
      <c r="AU21" s="341">
        <f t="shared" si="89"/>
        <v>12998967387</v>
      </c>
      <c r="AV21" s="343">
        <f t="shared" si="17"/>
        <v>1.0090015824730265</v>
      </c>
      <c r="AW21" s="341">
        <f t="shared" si="18"/>
        <v>18627000000</v>
      </c>
      <c r="AX21" s="341">
        <f t="shared" si="90"/>
        <v>13718656820</v>
      </c>
      <c r="AY21" s="343">
        <f t="shared" si="20"/>
        <v>0.73649309174853705</v>
      </c>
      <c r="AZ21" s="341">
        <f t="shared" si="21"/>
        <v>21717000000</v>
      </c>
      <c r="BA21" s="341">
        <f t="shared" si="22"/>
        <v>18921069149</v>
      </c>
      <c r="BB21" s="343">
        <f t="shared" si="23"/>
        <v>0.87125611958373628</v>
      </c>
      <c r="BC21" s="341">
        <f t="shared" si="91"/>
        <v>44540000000</v>
      </c>
      <c r="BD21" s="341">
        <f t="shared" si="92"/>
        <v>48593137060</v>
      </c>
      <c r="BE21" s="343">
        <f t="shared" si="25"/>
        <v>1.0909999339919174</v>
      </c>
      <c r="BF21" s="244">
        <f t="shared" si="53"/>
        <v>0.89087417943333336</v>
      </c>
      <c r="BG21" s="39"/>
      <c r="BO21" s="495"/>
      <c r="BP21" s="504"/>
      <c r="BQ21" s="355" t="s">
        <v>40</v>
      </c>
      <c r="BR21" s="341">
        <f>BU21+BX21+CA21+CD21+CG21+CJ21+CM21+CP21+CS21+CV21+CY21+DB21</f>
        <v>64143000000</v>
      </c>
      <c r="BS21" s="341">
        <f t="shared" ref="BS21:BS23" si="171">BV21+BY21+CB21+CE21+CH21+CK21+CN21+CQ21+CT21+CW21+CZ21+DC21</f>
        <v>2712000000</v>
      </c>
      <c r="BT21" s="342">
        <f t="shared" si="106"/>
        <v>4.2280529442027967E-2</v>
      </c>
      <c r="BU21" s="341">
        <v>5543000000</v>
      </c>
      <c r="BV21" s="341">
        <f t="shared" ref="BV21:BV23" si="172">CA45*10^6</f>
        <v>2712000000</v>
      </c>
      <c r="BW21" s="343">
        <f t="shared" si="93"/>
        <v>0.48926574057369654</v>
      </c>
      <c r="BX21" s="344">
        <v>2323000000</v>
      </c>
      <c r="BY21" s="341"/>
      <c r="BZ21" s="343">
        <f t="shared" si="28"/>
        <v>0</v>
      </c>
      <c r="CA21" s="344">
        <v>3050000000</v>
      </c>
      <c r="CB21" s="341"/>
      <c r="CC21" s="343">
        <f t="shared" si="29"/>
        <v>0</v>
      </c>
      <c r="CD21" s="344">
        <v>4097000000</v>
      </c>
      <c r="CE21" s="341"/>
      <c r="CF21" s="343">
        <f t="shared" ref="CF21:CF39" si="173">IFERROR(CE21/CD21,0%)</f>
        <v>0</v>
      </c>
      <c r="CG21" s="341">
        <v>4346000000</v>
      </c>
      <c r="CH21" s="341"/>
      <c r="CI21" s="342">
        <f t="shared" si="119"/>
        <v>0</v>
      </c>
      <c r="CJ21" s="344">
        <v>4440000000</v>
      </c>
      <c r="CK21" s="341"/>
      <c r="CL21" s="343">
        <f t="shared" si="31"/>
        <v>0</v>
      </c>
      <c r="CM21" s="344">
        <v>6586000000</v>
      </c>
      <c r="CN21" s="341"/>
      <c r="CO21" s="342">
        <f>IFERROR(CN21/CM21,0%)</f>
        <v>0</v>
      </c>
      <c r="CP21" s="344">
        <v>6369000000</v>
      </c>
      <c r="CQ21" s="341"/>
      <c r="CR21" s="342">
        <f t="shared" si="167"/>
        <v>0</v>
      </c>
      <c r="CS21" s="341">
        <v>5672000000</v>
      </c>
      <c r="CT21" s="341"/>
      <c r="CU21" s="342">
        <f t="shared" si="33"/>
        <v>0</v>
      </c>
      <c r="CV21" s="341">
        <v>6257000000</v>
      </c>
      <c r="CW21" s="341"/>
      <c r="CX21" s="342">
        <f t="shared" si="34"/>
        <v>0</v>
      </c>
      <c r="CY21" s="344">
        <v>7309000000</v>
      </c>
      <c r="CZ21" s="344"/>
      <c r="DA21" s="342">
        <f t="shared" si="35"/>
        <v>0</v>
      </c>
      <c r="DB21" s="344">
        <v>8151000000</v>
      </c>
      <c r="DC21" s="344"/>
      <c r="DD21" s="342">
        <f t="shared" si="36"/>
        <v>0</v>
      </c>
      <c r="DE21" s="341">
        <f>CA21+BX21+BU21</f>
        <v>10916000000</v>
      </c>
      <c r="DF21" s="341">
        <f>CB21+BY21+BV21</f>
        <v>2712000000</v>
      </c>
      <c r="DG21" s="343">
        <f t="shared" si="37"/>
        <v>0.24844265298644191</v>
      </c>
      <c r="DH21" s="341">
        <f t="shared" ref="DH21:DH39" si="174">CD21+CG21+CJ21</f>
        <v>12883000000</v>
      </c>
      <c r="DI21" s="341">
        <f t="shared" si="168"/>
        <v>0</v>
      </c>
      <c r="DJ21" s="343">
        <f t="shared" si="40"/>
        <v>0</v>
      </c>
      <c r="DK21" s="341">
        <f t="shared" si="96"/>
        <v>18627000000</v>
      </c>
      <c r="DL21" s="341">
        <f t="shared" si="169"/>
        <v>0</v>
      </c>
      <c r="DM21" s="343">
        <f t="shared" si="43"/>
        <v>0</v>
      </c>
      <c r="DN21" s="341">
        <f t="shared" si="44"/>
        <v>21717000000</v>
      </c>
      <c r="DO21" s="341">
        <f t="shared" si="45"/>
        <v>0</v>
      </c>
      <c r="DP21" s="343">
        <f t="shared" si="46"/>
        <v>0</v>
      </c>
      <c r="DQ21" s="341">
        <f t="shared" si="98"/>
        <v>48683000000</v>
      </c>
      <c r="DR21" s="341">
        <f t="shared" si="48"/>
        <v>2712000000</v>
      </c>
      <c r="DS21" s="343">
        <f t="shared" si="49"/>
        <v>5.5707331101205758E-2</v>
      </c>
      <c r="DT21" s="244">
        <f t="shared" ref="DT21:DT39" si="175">(DR21/11*1.1+DR21)/BR21</f>
        <v>4.6508582386230762E-2</v>
      </c>
    </row>
    <row r="22" spans="1:124" ht="15">
      <c r="A22" s="495"/>
      <c r="B22" s="497" t="s">
        <v>41</v>
      </c>
      <c r="C22" s="355" t="s">
        <v>103</v>
      </c>
      <c r="D22" s="341">
        <f t="shared" ref="D22" si="176">G22+J22+M22+P22+S22+V22+Y22+AB22+AE22+AH22+AK22+AN22</f>
        <v>0</v>
      </c>
      <c r="E22" s="341">
        <f t="shared" si="170"/>
        <v>0</v>
      </c>
      <c r="F22" s="342">
        <f t="shared" si="4"/>
        <v>0</v>
      </c>
      <c r="G22" s="341">
        <v>0</v>
      </c>
      <c r="H22" s="341">
        <f>B72</f>
        <v>0</v>
      </c>
      <c r="I22" s="343">
        <f t="shared" si="5"/>
        <v>0</v>
      </c>
      <c r="J22" s="344">
        <v>0</v>
      </c>
      <c r="K22" s="341">
        <f>C72</f>
        <v>0</v>
      </c>
      <c r="L22" s="343">
        <f t="shared" si="6"/>
        <v>0</v>
      </c>
      <c r="M22" s="344">
        <v>0</v>
      </c>
      <c r="N22" s="341">
        <f>D72</f>
        <v>0</v>
      </c>
      <c r="O22" s="343">
        <f t="shared" si="7"/>
        <v>0</v>
      </c>
      <c r="P22" s="344">
        <v>0</v>
      </c>
      <c r="Q22" s="341">
        <f>E72</f>
        <v>0</v>
      </c>
      <c r="R22" s="343">
        <f t="shared" si="51"/>
        <v>0</v>
      </c>
      <c r="S22" s="341">
        <v>0</v>
      </c>
      <c r="T22" s="341">
        <f>F72</f>
        <v>0</v>
      </c>
      <c r="U22" s="342">
        <f t="shared" si="8"/>
        <v>0</v>
      </c>
      <c r="V22" s="344">
        <v>0</v>
      </c>
      <c r="W22" s="341">
        <f>G72</f>
        <v>0</v>
      </c>
      <c r="X22" s="343">
        <f t="shared" si="9"/>
        <v>0</v>
      </c>
      <c r="Y22" s="344">
        <v>0</v>
      </c>
      <c r="Z22" s="341">
        <f>H72</f>
        <v>0</v>
      </c>
      <c r="AA22" s="342">
        <f>IFERROR(Z22/Y22,0%)</f>
        <v>0</v>
      </c>
      <c r="AB22" s="344">
        <v>0</v>
      </c>
      <c r="AC22" s="341">
        <f>I72</f>
        <v>0</v>
      </c>
      <c r="AD22" s="342">
        <f t="shared" si="10"/>
        <v>0</v>
      </c>
      <c r="AE22" s="341">
        <v>0</v>
      </c>
      <c r="AF22" s="341">
        <f>J72</f>
        <v>0</v>
      </c>
      <c r="AG22" s="342">
        <f t="shared" si="11"/>
        <v>0</v>
      </c>
      <c r="AH22" s="341">
        <v>0</v>
      </c>
      <c r="AI22" s="341">
        <f>K72</f>
        <v>0</v>
      </c>
      <c r="AJ22" s="342">
        <f t="shared" si="12"/>
        <v>0</v>
      </c>
      <c r="AK22" s="344">
        <v>0</v>
      </c>
      <c r="AL22" s="344">
        <f>L72</f>
        <v>0</v>
      </c>
      <c r="AM22" s="342">
        <f t="shared" si="13"/>
        <v>0</v>
      </c>
      <c r="AN22" s="344">
        <v>0</v>
      </c>
      <c r="AO22" s="344">
        <f>M72</f>
        <v>0</v>
      </c>
      <c r="AP22" s="342">
        <f t="shared" si="14"/>
        <v>0</v>
      </c>
      <c r="AQ22" s="341">
        <f>M22+J22+G22</f>
        <v>0</v>
      </c>
      <c r="AR22" s="341">
        <f>N22+K22+H22</f>
        <v>0</v>
      </c>
      <c r="AS22" s="343">
        <f t="shared" si="15"/>
        <v>0</v>
      </c>
      <c r="AT22" s="341">
        <f t="shared" si="88"/>
        <v>0</v>
      </c>
      <c r="AU22" s="341">
        <f t="shared" si="89"/>
        <v>0</v>
      </c>
      <c r="AV22" s="343">
        <f t="shared" si="17"/>
        <v>0</v>
      </c>
      <c r="AW22" s="345">
        <f t="shared" si="18"/>
        <v>0</v>
      </c>
      <c r="AX22" s="346">
        <f t="shared" si="90"/>
        <v>0</v>
      </c>
      <c r="AY22" s="343">
        <f t="shared" si="20"/>
        <v>0</v>
      </c>
      <c r="AZ22" s="345">
        <f t="shared" si="21"/>
        <v>0</v>
      </c>
      <c r="BA22" s="346">
        <f t="shared" si="22"/>
        <v>0</v>
      </c>
      <c r="BB22" s="343">
        <f t="shared" si="23"/>
        <v>0</v>
      </c>
      <c r="BC22" s="345">
        <f t="shared" si="91"/>
        <v>0</v>
      </c>
      <c r="BD22" s="345">
        <f t="shared" si="92"/>
        <v>0</v>
      </c>
      <c r="BE22" s="343">
        <f t="shared" si="25"/>
        <v>0</v>
      </c>
      <c r="BF22" s="244"/>
      <c r="BG22" s="39"/>
      <c r="BO22" s="495"/>
      <c r="BP22" s="497" t="s">
        <v>41</v>
      </c>
      <c r="BQ22" s="355" t="s">
        <v>103</v>
      </c>
      <c r="BR22" s="341">
        <f t="shared" ref="BR22" si="177">BU22+BX22+CA22+CD22+CG22+CJ22+CM22+CP22+CS22+CV22+CY22+DB22</f>
        <v>4082000000</v>
      </c>
      <c r="BS22" s="341">
        <f t="shared" si="171"/>
        <v>0</v>
      </c>
      <c r="BT22" s="342">
        <f t="shared" si="106"/>
        <v>0</v>
      </c>
      <c r="BU22" s="341">
        <v>4082000000</v>
      </c>
      <c r="BV22" s="341">
        <f>CA47*10^6</f>
        <v>0</v>
      </c>
      <c r="BW22" s="343">
        <f t="shared" si="93"/>
        <v>0</v>
      </c>
      <c r="BX22" s="344">
        <v>0</v>
      </c>
      <c r="BY22" s="341"/>
      <c r="BZ22" s="343">
        <f t="shared" si="28"/>
        <v>0</v>
      </c>
      <c r="CA22" s="344">
        <v>0</v>
      </c>
      <c r="CB22" s="341"/>
      <c r="CC22" s="343">
        <f t="shared" si="29"/>
        <v>0</v>
      </c>
      <c r="CD22" s="344">
        <v>0</v>
      </c>
      <c r="CE22" s="341"/>
      <c r="CF22" s="343">
        <f t="shared" si="173"/>
        <v>0</v>
      </c>
      <c r="CG22" s="341">
        <v>0</v>
      </c>
      <c r="CH22" s="341"/>
      <c r="CI22" s="342">
        <f t="shared" si="119"/>
        <v>0</v>
      </c>
      <c r="CJ22" s="344">
        <v>0</v>
      </c>
      <c r="CK22" s="341"/>
      <c r="CL22" s="343">
        <f t="shared" si="31"/>
        <v>0</v>
      </c>
      <c r="CM22" s="344">
        <v>0</v>
      </c>
      <c r="CN22" s="341"/>
      <c r="CO22" s="342">
        <f>IFERROR(CN22/CM22,0%)</f>
        <v>0</v>
      </c>
      <c r="CP22" s="344">
        <v>0</v>
      </c>
      <c r="CQ22" s="341"/>
      <c r="CR22" s="342">
        <f t="shared" si="167"/>
        <v>0</v>
      </c>
      <c r="CS22" s="341">
        <v>0</v>
      </c>
      <c r="CT22" s="341"/>
      <c r="CU22" s="342">
        <f t="shared" si="33"/>
        <v>0</v>
      </c>
      <c r="CV22" s="341">
        <v>0</v>
      </c>
      <c r="CW22" s="341"/>
      <c r="CX22" s="342">
        <f t="shared" si="34"/>
        <v>0</v>
      </c>
      <c r="CY22" s="344">
        <v>0</v>
      </c>
      <c r="CZ22" s="344"/>
      <c r="DA22" s="342">
        <f t="shared" si="35"/>
        <v>0</v>
      </c>
      <c r="DB22" s="344">
        <v>0</v>
      </c>
      <c r="DC22" s="344"/>
      <c r="DD22" s="342">
        <f t="shared" si="36"/>
        <v>0</v>
      </c>
      <c r="DE22" s="341">
        <f>CA22+BX22+BU22</f>
        <v>4082000000</v>
      </c>
      <c r="DF22" s="341">
        <f>CB22+BY22+BV22</f>
        <v>0</v>
      </c>
      <c r="DG22" s="343">
        <f t="shared" si="37"/>
        <v>0</v>
      </c>
      <c r="DH22" s="341">
        <f t="shared" si="174"/>
        <v>0</v>
      </c>
      <c r="DI22" s="341">
        <f t="shared" si="168"/>
        <v>0</v>
      </c>
      <c r="DJ22" s="343">
        <f t="shared" si="40"/>
        <v>0</v>
      </c>
      <c r="DK22" s="345">
        <f t="shared" si="96"/>
        <v>0</v>
      </c>
      <c r="DL22" s="346">
        <f t="shared" si="169"/>
        <v>0</v>
      </c>
      <c r="DM22" s="343">
        <f t="shared" si="43"/>
        <v>0</v>
      </c>
      <c r="DN22" s="345">
        <f t="shared" si="44"/>
        <v>0</v>
      </c>
      <c r="DO22" s="346">
        <f t="shared" si="45"/>
        <v>0</v>
      </c>
      <c r="DP22" s="343">
        <f t="shared" si="46"/>
        <v>0</v>
      </c>
      <c r="DQ22" s="345">
        <f t="shared" si="98"/>
        <v>4082000000</v>
      </c>
      <c r="DR22" s="345">
        <f t="shared" si="48"/>
        <v>0</v>
      </c>
      <c r="DS22" s="343">
        <f t="shared" si="49"/>
        <v>0</v>
      </c>
      <c r="DT22" s="244"/>
    </row>
    <row r="23" spans="1:124" ht="15">
      <c r="A23" s="496"/>
      <c r="B23" s="498"/>
      <c r="C23" s="355" t="s">
        <v>104</v>
      </c>
      <c r="D23" s="341">
        <f>G23+J23+M23+P23+S23+V23+Y23+AB23+AE23+AH23+AK23+AN23</f>
        <v>60000000000</v>
      </c>
      <c r="E23" s="341">
        <f t="shared" si="170"/>
        <v>73785428199</v>
      </c>
      <c r="F23" s="342">
        <f t="shared" si="4"/>
        <v>1.22975713665</v>
      </c>
      <c r="G23" s="341">
        <v>6404000000</v>
      </c>
      <c r="H23" s="341">
        <f>B55</f>
        <v>5267313883</v>
      </c>
      <c r="I23" s="343">
        <f t="shared" si="5"/>
        <v>0.82250372938788252</v>
      </c>
      <c r="J23" s="344">
        <v>6556000000</v>
      </c>
      <c r="K23" s="341">
        <f>C55</f>
        <v>4363960684</v>
      </c>
      <c r="L23" s="343">
        <f t="shared" si="6"/>
        <v>0.66564378950579617</v>
      </c>
      <c r="M23" s="344">
        <v>5789000000</v>
      </c>
      <c r="N23" s="341">
        <f>D55</f>
        <v>5855754945</v>
      </c>
      <c r="O23" s="343">
        <f t="shared" si="7"/>
        <v>1.0115313430644326</v>
      </c>
      <c r="P23" s="344">
        <v>6685000000</v>
      </c>
      <c r="Q23" s="341">
        <f>E55</f>
        <v>5781529614</v>
      </c>
      <c r="R23" s="343">
        <f t="shared" si="51"/>
        <v>0.86485110157068068</v>
      </c>
      <c r="S23" s="341">
        <v>4699000000</v>
      </c>
      <c r="T23" s="341">
        <f>F55</f>
        <v>7732805689</v>
      </c>
      <c r="U23" s="342">
        <f t="shared" si="8"/>
        <v>1.64562793977442</v>
      </c>
      <c r="V23" s="344">
        <v>3992000000</v>
      </c>
      <c r="W23" s="341">
        <f>G55</f>
        <v>7156203020</v>
      </c>
      <c r="X23" s="343">
        <f t="shared" si="9"/>
        <v>1.7926360270541082</v>
      </c>
      <c r="Y23" s="344">
        <v>3421000000</v>
      </c>
      <c r="Z23" s="341">
        <f>H55</f>
        <v>5210571489</v>
      </c>
      <c r="AA23" s="342">
        <f>IFERROR(Z23/Y23,0%)</f>
        <v>1.5231135600701549</v>
      </c>
      <c r="AB23" s="344">
        <v>2761000000</v>
      </c>
      <c r="AC23" s="341">
        <f>I55</f>
        <v>6963991106</v>
      </c>
      <c r="AD23" s="342">
        <f t="shared" si="10"/>
        <v>2.5222713169141615</v>
      </c>
      <c r="AE23" s="341">
        <v>2474000000</v>
      </c>
      <c r="AF23" s="341">
        <f>J55</f>
        <v>4405175736</v>
      </c>
      <c r="AG23" s="342">
        <f t="shared" si="11"/>
        <v>1.780588413904608</v>
      </c>
      <c r="AH23" s="341">
        <v>4613000000</v>
      </c>
      <c r="AI23" s="341">
        <f>K55</f>
        <v>7278347783</v>
      </c>
      <c r="AJ23" s="342">
        <f t="shared" si="12"/>
        <v>1.5777905447647951</v>
      </c>
      <c r="AK23" s="344">
        <v>7718000000</v>
      </c>
      <c r="AL23" s="344">
        <f>L55</f>
        <v>8275698552</v>
      </c>
      <c r="AM23" s="342">
        <f t="shared" si="13"/>
        <v>1.072259465146411</v>
      </c>
      <c r="AN23" s="344">
        <v>4888000000</v>
      </c>
      <c r="AO23" s="344">
        <f>M55</f>
        <v>5494075698</v>
      </c>
      <c r="AP23" s="342">
        <f t="shared" si="14"/>
        <v>1.1239925732405891</v>
      </c>
      <c r="AQ23" s="341">
        <f>M23+J23+G23</f>
        <v>18749000000</v>
      </c>
      <c r="AR23" s="341">
        <f>N23+K23+H23</f>
        <v>15487029512</v>
      </c>
      <c r="AS23" s="343">
        <f t="shared" si="15"/>
        <v>0.82601896165128808</v>
      </c>
      <c r="AT23" s="341">
        <f t="shared" si="88"/>
        <v>15376000000</v>
      </c>
      <c r="AU23" s="341">
        <f t="shared" si="89"/>
        <v>20670538323</v>
      </c>
      <c r="AV23" s="343">
        <f t="shared" si="17"/>
        <v>1.3443378201742977</v>
      </c>
      <c r="AW23" s="341">
        <f t="shared" si="18"/>
        <v>8656000000</v>
      </c>
      <c r="AX23" s="341">
        <f t="shared" si="90"/>
        <v>16579738331</v>
      </c>
      <c r="AY23" s="343">
        <f t="shared" si="20"/>
        <v>1.9154041509935305</v>
      </c>
      <c r="AZ23" s="341">
        <f t="shared" si="21"/>
        <v>17219000000</v>
      </c>
      <c r="BA23" s="341">
        <f t="shared" si="22"/>
        <v>21048122033</v>
      </c>
      <c r="BB23" s="343">
        <f t="shared" si="23"/>
        <v>1.2223777242000116</v>
      </c>
      <c r="BC23" s="341">
        <f t="shared" si="91"/>
        <v>47394000000</v>
      </c>
      <c r="BD23" s="341">
        <f t="shared" si="92"/>
        <v>68291352501</v>
      </c>
      <c r="BE23" s="343">
        <f t="shared" si="25"/>
        <v>1.4409282293328269</v>
      </c>
      <c r="BF23" s="244">
        <f t="shared" si="53"/>
        <v>1.252008129185</v>
      </c>
      <c r="BG23" s="39"/>
      <c r="BO23" s="496"/>
      <c r="BP23" s="498"/>
      <c r="BQ23" s="355" t="s">
        <v>104</v>
      </c>
      <c r="BR23" s="341">
        <f>BU23+BX23+CA23+CD23+CG23+CJ23+CM23+CP23+CS23+CV23+CY23+DB23</f>
        <v>58707000000</v>
      </c>
      <c r="BS23" s="341">
        <f t="shared" si="171"/>
        <v>3283000000</v>
      </c>
      <c r="BT23" s="342">
        <f t="shared" si="106"/>
        <v>5.5921781048256597E-2</v>
      </c>
      <c r="BU23" s="341">
        <v>5111000000</v>
      </c>
      <c r="BV23" s="341">
        <f>CA46*10^6</f>
        <v>3283000000</v>
      </c>
      <c r="BW23" s="343">
        <f t="shared" si="93"/>
        <v>0.64234005087067114</v>
      </c>
      <c r="BX23" s="344">
        <v>6556000000</v>
      </c>
      <c r="BY23" s="341"/>
      <c r="BZ23" s="343">
        <f t="shared" si="28"/>
        <v>0</v>
      </c>
      <c r="CA23" s="344">
        <v>5789000000</v>
      </c>
      <c r="CB23" s="341"/>
      <c r="CC23" s="343">
        <f t="shared" si="29"/>
        <v>0</v>
      </c>
      <c r="CD23" s="344">
        <v>6685000000</v>
      </c>
      <c r="CE23" s="341"/>
      <c r="CF23" s="343">
        <f t="shared" si="173"/>
        <v>0</v>
      </c>
      <c r="CG23" s="341">
        <v>4699000000</v>
      </c>
      <c r="CH23" s="341"/>
      <c r="CI23" s="342">
        <f t="shared" si="119"/>
        <v>0</v>
      </c>
      <c r="CJ23" s="344">
        <v>3992000000</v>
      </c>
      <c r="CK23" s="341"/>
      <c r="CL23" s="343">
        <f t="shared" si="31"/>
        <v>0</v>
      </c>
      <c r="CM23" s="344">
        <v>3421000000</v>
      </c>
      <c r="CN23" s="341"/>
      <c r="CO23" s="342">
        <f>IFERROR(CN23/CM23,0%)</f>
        <v>0</v>
      </c>
      <c r="CP23" s="344">
        <v>2761000000</v>
      </c>
      <c r="CQ23" s="341"/>
      <c r="CR23" s="342">
        <f t="shared" si="167"/>
        <v>0</v>
      </c>
      <c r="CS23" s="341">
        <v>2474000000</v>
      </c>
      <c r="CT23" s="341"/>
      <c r="CU23" s="342">
        <f t="shared" si="33"/>
        <v>0</v>
      </c>
      <c r="CV23" s="341">
        <v>4613000000</v>
      </c>
      <c r="CW23" s="341"/>
      <c r="CX23" s="342">
        <f t="shared" si="34"/>
        <v>0</v>
      </c>
      <c r="CY23" s="344">
        <v>7718000000</v>
      </c>
      <c r="CZ23" s="344"/>
      <c r="DA23" s="342">
        <f t="shared" si="35"/>
        <v>0</v>
      </c>
      <c r="DB23" s="344">
        <v>4888000000</v>
      </c>
      <c r="DC23" s="344"/>
      <c r="DD23" s="342">
        <f t="shared" si="36"/>
        <v>0</v>
      </c>
      <c r="DE23" s="341">
        <f>CA23+BX23+BU23</f>
        <v>17456000000</v>
      </c>
      <c r="DF23" s="341">
        <f>CB23+BY23+BV23</f>
        <v>3283000000</v>
      </c>
      <c r="DG23" s="343">
        <f t="shared" si="37"/>
        <v>0.18807286892758937</v>
      </c>
      <c r="DH23" s="341">
        <f t="shared" si="174"/>
        <v>15376000000</v>
      </c>
      <c r="DI23" s="341">
        <f t="shared" si="168"/>
        <v>0</v>
      </c>
      <c r="DJ23" s="343">
        <f t="shared" si="40"/>
        <v>0</v>
      </c>
      <c r="DK23" s="341">
        <f t="shared" si="96"/>
        <v>8656000000</v>
      </c>
      <c r="DL23" s="341">
        <f t="shared" si="169"/>
        <v>0</v>
      </c>
      <c r="DM23" s="343">
        <f t="shared" si="43"/>
        <v>0</v>
      </c>
      <c r="DN23" s="341">
        <f t="shared" si="44"/>
        <v>17219000000</v>
      </c>
      <c r="DO23" s="341">
        <f t="shared" si="45"/>
        <v>0</v>
      </c>
      <c r="DP23" s="343">
        <f t="shared" si="46"/>
        <v>0</v>
      </c>
      <c r="DQ23" s="341">
        <f t="shared" si="98"/>
        <v>46101000000</v>
      </c>
      <c r="DR23" s="341">
        <f t="shared" si="48"/>
        <v>3283000000</v>
      </c>
      <c r="DS23" s="343">
        <f t="shared" si="49"/>
        <v>7.1213205787293121E-2</v>
      </c>
      <c r="DT23" s="244">
        <f t="shared" ref="DT23:DT39" si="178">(DR23/11*1.1+DR23)/BR23</f>
        <v>6.1513959153082255E-2</v>
      </c>
    </row>
    <row r="24" spans="1:124" ht="15">
      <c r="A24" s="525" t="s">
        <v>105</v>
      </c>
      <c r="B24" s="526"/>
      <c r="C24" s="526"/>
      <c r="D24" s="338">
        <f>SUM(D20:D23)</f>
        <v>120000000000</v>
      </c>
      <c r="E24" s="338">
        <f>SUM(E20:E23)</f>
        <v>129691095598</v>
      </c>
      <c r="F24" s="339">
        <f t="shared" ref="F24" si="179">IFERROR(E24/D24,0%)</f>
        <v>1.0807591299833332</v>
      </c>
      <c r="G24" s="338">
        <f t="shared" ref="G24" si="180">SUM(G20:G23)</f>
        <v>7804000000</v>
      </c>
      <c r="H24" s="338">
        <f t="shared" ref="H24" si="181">SUM(H20:H23)</f>
        <v>7975234654</v>
      </c>
      <c r="I24" s="340">
        <f t="shared" si="5"/>
        <v>1.0219419085084571</v>
      </c>
      <c r="J24" s="338">
        <f t="shared" ref="J24" si="182">SUM(J20:J23)</f>
        <v>8879000000</v>
      </c>
      <c r="K24" s="338">
        <f t="shared" ref="K24" si="183">SUM(K20:K23)</f>
        <v>6381723369</v>
      </c>
      <c r="L24" s="340">
        <f t="shared" si="6"/>
        <v>0.71874348113526298</v>
      </c>
      <c r="M24" s="338">
        <f t="shared" ref="M24" si="184">SUM(M20:M23)</f>
        <v>8839000000</v>
      </c>
      <c r="N24" s="338">
        <f>SUM(N20:N23)</f>
        <v>10803886532</v>
      </c>
      <c r="O24" s="340">
        <f t="shared" si="7"/>
        <v>1.2222973788890146</v>
      </c>
      <c r="P24" s="338">
        <v>10781000000</v>
      </c>
      <c r="Q24" s="338">
        <v>8856912104</v>
      </c>
      <c r="R24" s="340">
        <f t="shared" ref="R24" si="185">IFERROR(Q24/P24,0%)</f>
        <v>0.82152973787218253</v>
      </c>
      <c r="S24" s="338">
        <f t="shared" ref="S24" si="186">SUM(S20:S23)</f>
        <v>9045000000</v>
      </c>
      <c r="T24" s="338">
        <f t="shared" ref="T24" si="187">SUM(T20:T23)</f>
        <v>12210549989</v>
      </c>
      <c r="U24" s="339">
        <f t="shared" ref="U24" si="188">IFERROR(T24/S24,0%)</f>
        <v>1.3499778871199557</v>
      </c>
      <c r="V24" s="338">
        <f t="shared" ref="V24" si="189">SUM(V20:V23)</f>
        <v>8432000000</v>
      </c>
      <c r="W24" s="338">
        <v>9773915343</v>
      </c>
      <c r="X24" s="340">
        <f t="shared" ref="X24" si="190">IFERROR(W24/V24,0%)</f>
        <v>1.1591455577561669</v>
      </c>
      <c r="Y24" s="338">
        <f t="shared" ref="Y24" si="191">SUM(Y20:Y23)</f>
        <v>10007000000</v>
      </c>
      <c r="Z24" s="338">
        <v>11725858105</v>
      </c>
      <c r="AA24" s="339">
        <f>IFERROR(Z24/Y24,0%)</f>
        <v>1.1717655745977815</v>
      </c>
      <c r="AB24" s="338">
        <f t="shared" ref="AB24" si="192">SUM(AB20:AB23)</f>
        <v>9130000000</v>
      </c>
      <c r="AC24" s="338">
        <v>8824000000</v>
      </c>
      <c r="AD24" s="339">
        <f t="shared" ref="AD24" si="193">IFERROR(AC24/AB24,0%)</f>
        <v>0.96648411829134717</v>
      </c>
      <c r="AE24" s="338">
        <f t="shared" ref="AE24" si="194">SUM(AE20:AE23)</f>
        <v>8146000000</v>
      </c>
      <c r="AF24" s="338">
        <f t="shared" ref="AF24" si="195">SUM(AF20:AF23)</f>
        <v>8973535398</v>
      </c>
      <c r="AG24" s="339">
        <f t="shared" ref="AG24" si="196">IFERROR(AF24/AE24,0%)</f>
        <v>1.1015879447581636</v>
      </c>
      <c r="AH24" s="338">
        <f t="shared" ref="AH24" si="197">SUM(AH20:AH23)</f>
        <v>10870000000</v>
      </c>
      <c r="AI24" s="338">
        <f t="shared" ref="AI24" si="198">SUM(AI20:AI23)</f>
        <v>13100877077</v>
      </c>
      <c r="AJ24" s="339">
        <f t="shared" ref="AJ24" si="199">IFERROR(AI24/AH24,0%)</f>
        <v>1.2052324817847286</v>
      </c>
      <c r="AK24" s="338">
        <f t="shared" ref="AK24" si="200">SUM(AK20:AK23)</f>
        <v>15027000000</v>
      </c>
      <c r="AL24" s="338">
        <f t="shared" ref="AL24" si="201">SUM(AL20:AL23)</f>
        <v>14765187068</v>
      </c>
      <c r="AM24" s="339">
        <f t="shared" ref="AM24" si="202">IFERROR(AL24/AK24,0%)</f>
        <v>0.98257716563519004</v>
      </c>
      <c r="AN24" s="338">
        <f t="shared" ref="AN24" si="203">SUM(AN20:AN23)</f>
        <v>13039000000</v>
      </c>
      <c r="AO24" s="338">
        <f t="shared" ref="AO24" si="204">SUM(AO20:AO23)</f>
        <v>12130647037</v>
      </c>
      <c r="AP24" s="339">
        <f t="shared" ref="AP24" si="205">IFERROR(AO24/AN24,0%)</f>
        <v>0.93033568808957745</v>
      </c>
      <c r="AQ24" s="338">
        <f t="shared" ref="AQ24" si="206">SUM(AQ20:AQ23)</f>
        <v>25522000000</v>
      </c>
      <c r="AR24" s="338">
        <f t="shared" ref="AR24" si="207">SUM(AR20:AR23)</f>
        <v>25078044555</v>
      </c>
      <c r="AS24" s="340">
        <f t="shared" si="15"/>
        <v>0.98260499000862001</v>
      </c>
      <c r="AT24" s="338">
        <f t="shared" si="88"/>
        <v>28258000000</v>
      </c>
      <c r="AU24" s="338">
        <f t="shared" si="89"/>
        <v>30841377436</v>
      </c>
      <c r="AV24" s="340">
        <f t="shared" si="17"/>
        <v>1.0914210997239719</v>
      </c>
      <c r="AW24" s="338">
        <f t="shared" si="18"/>
        <v>27283000000</v>
      </c>
      <c r="AX24" s="338">
        <f t="shared" si="90"/>
        <v>29523393503</v>
      </c>
      <c r="AY24" s="340">
        <f t="shared" si="20"/>
        <v>1.0821168311036176</v>
      </c>
      <c r="AZ24" s="338">
        <f t="shared" si="21"/>
        <v>38936000000</v>
      </c>
      <c r="BA24" s="338">
        <f t="shared" si="22"/>
        <v>39996711182</v>
      </c>
      <c r="BB24" s="340">
        <f t="shared" si="23"/>
        <v>1.0272424281384838</v>
      </c>
      <c r="BC24" s="338">
        <f t="shared" si="91"/>
        <v>91933000000</v>
      </c>
      <c r="BD24" s="338">
        <f t="shared" si="92"/>
        <v>113308879639</v>
      </c>
      <c r="BE24" s="340">
        <f t="shared" si="25"/>
        <v>1.2325158500103337</v>
      </c>
      <c r="BF24" s="244">
        <f t="shared" si="53"/>
        <v>1.0386647300241667</v>
      </c>
      <c r="BG24" s="39"/>
      <c r="BO24" s="525" t="s">
        <v>105</v>
      </c>
      <c r="BP24" s="526"/>
      <c r="BQ24" s="526"/>
      <c r="BR24" s="338">
        <f>SUM(BR20:BR23)</f>
        <v>127324000000</v>
      </c>
      <c r="BS24" s="338">
        <f>SUM(BS20:BS23)</f>
        <v>5995000000</v>
      </c>
      <c r="BT24" s="339">
        <f t="shared" si="106"/>
        <v>4.7084603059910149E-2</v>
      </c>
      <c r="BU24" s="338">
        <f t="shared" ref="BU24:BV24" si="208">SUM(BU20:BU23)</f>
        <v>15128000000</v>
      </c>
      <c r="BV24" s="338">
        <f t="shared" si="208"/>
        <v>5995000000</v>
      </c>
      <c r="BW24" s="340">
        <f t="shared" si="93"/>
        <v>0.39628503437334744</v>
      </c>
      <c r="BX24" s="338">
        <f t="shared" ref="BX24:BY24" si="209">SUM(BX20:BX23)</f>
        <v>8879000000</v>
      </c>
      <c r="BY24" s="338"/>
      <c r="BZ24" s="340">
        <f t="shared" si="28"/>
        <v>0</v>
      </c>
      <c r="CA24" s="338">
        <f t="shared" ref="CA24" si="210">SUM(CA20:CA23)</f>
        <v>8839000000</v>
      </c>
      <c r="CB24" s="338"/>
      <c r="CC24" s="340">
        <f t="shared" si="29"/>
        <v>0</v>
      </c>
      <c r="CD24" s="338">
        <v>10781000000</v>
      </c>
      <c r="CE24" s="338"/>
      <c r="CF24" s="340">
        <f t="shared" si="173"/>
        <v>0</v>
      </c>
      <c r="CG24" s="338">
        <f t="shared" ref="CG24:CH24" si="211">SUM(CG20:CG23)</f>
        <v>9045000000</v>
      </c>
      <c r="CH24" s="338"/>
      <c r="CI24" s="339">
        <f t="shared" si="119"/>
        <v>0</v>
      </c>
      <c r="CJ24" s="338">
        <f t="shared" ref="CJ24" si="212">SUM(CJ20:CJ23)</f>
        <v>8432000000</v>
      </c>
      <c r="CK24" s="338"/>
      <c r="CL24" s="340">
        <f t="shared" si="31"/>
        <v>0</v>
      </c>
      <c r="CM24" s="338">
        <f t="shared" ref="CM24" si="213">SUM(CM20:CM23)</f>
        <v>10007000000</v>
      </c>
      <c r="CN24" s="338"/>
      <c r="CO24" s="339">
        <f>IFERROR(CN24/CM24,0%)</f>
        <v>0</v>
      </c>
      <c r="CP24" s="338">
        <f t="shared" ref="CP24" si="214">SUM(CP20:CP23)</f>
        <v>9130000000</v>
      </c>
      <c r="CQ24" s="338"/>
      <c r="CR24" s="339">
        <f t="shared" si="167"/>
        <v>0</v>
      </c>
      <c r="CS24" s="338">
        <f t="shared" ref="CS24:CT24" si="215">SUM(CS20:CS23)</f>
        <v>8146000000</v>
      </c>
      <c r="CT24" s="338"/>
      <c r="CU24" s="339">
        <f t="shared" si="33"/>
        <v>0</v>
      </c>
      <c r="CV24" s="338">
        <f t="shared" ref="CV24:CW24" si="216">SUM(CV20:CV23)</f>
        <v>10870000000</v>
      </c>
      <c r="CW24" s="338"/>
      <c r="CX24" s="339">
        <f t="shared" si="34"/>
        <v>0</v>
      </c>
      <c r="CY24" s="338">
        <f t="shared" ref="CY24:CZ24" si="217">SUM(CY20:CY23)</f>
        <v>15027000000</v>
      </c>
      <c r="CZ24" s="338"/>
      <c r="DA24" s="339">
        <f t="shared" si="35"/>
        <v>0</v>
      </c>
      <c r="DB24" s="338">
        <f t="shared" ref="DB24:DC24" si="218">SUM(DB20:DB23)</f>
        <v>13039000000</v>
      </c>
      <c r="DC24" s="338"/>
      <c r="DD24" s="339">
        <f t="shared" si="36"/>
        <v>0</v>
      </c>
      <c r="DE24" s="338">
        <f t="shared" ref="DE24:DF24" si="219">SUM(DE20:DE23)</f>
        <v>32454000000</v>
      </c>
      <c r="DF24" s="338">
        <f t="shared" si="219"/>
        <v>5995000000</v>
      </c>
      <c r="DG24" s="340">
        <f t="shared" si="37"/>
        <v>0.18472299254329205</v>
      </c>
      <c r="DH24" s="338">
        <f t="shared" si="174"/>
        <v>28258000000</v>
      </c>
      <c r="DI24" s="338">
        <f t="shared" si="168"/>
        <v>0</v>
      </c>
      <c r="DJ24" s="340">
        <f t="shared" si="40"/>
        <v>0</v>
      </c>
      <c r="DK24" s="338">
        <f t="shared" si="96"/>
        <v>27283000000</v>
      </c>
      <c r="DL24" s="338">
        <f t="shared" si="169"/>
        <v>0</v>
      </c>
      <c r="DM24" s="340">
        <f t="shared" si="43"/>
        <v>0</v>
      </c>
      <c r="DN24" s="338">
        <f t="shared" si="44"/>
        <v>38936000000</v>
      </c>
      <c r="DO24" s="338">
        <f t="shared" si="45"/>
        <v>0</v>
      </c>
      <c r="DP24" s="340">
        <f t="shared" si="46"/>
        <v>0</v>
      </c>
      <c r="DQ24" s="338">
        <f t="shared" si="98"/>
        <v>98865000000</v>
      </c>
      <c r="DR24" s="338">
        <f t="shared" si="48"/>
        <v>5995000000</v>
      </c>
      <c r="DS24" s="340">
        <f t="shared" si="49"/>
        <v>6.0638244070196731E-2</v>
      </c>
      <c r="DT24" s="244">
        <f t="shared" si="178"/>
        <v>5.1793063365901164E-2</v>
      </c>
    </row>
    <row r="25" spans="1:124" ht="15">
      <c r="A25" s="497" t="s">
        <v>9</v>
      </c>
      <c r="B25" s="500" t="s">
        <v>38</v>
      </c>
      <c r="C25" s="355" t="s">
        <v>39</v>
      </c>
      <c r="D25" s="341">
        <f>G25+J25+M25+P25+S25+V25+Y25+AB25+AE25+AH25+AK25+AN25</f>
        <v>0</v>
      </c>
      <c r="E25" s="341">
        <f>H25+K25+N25+Q25+T25+W25+Z25+AC25+AF25+AI25+AL25+AO25</f>
        <v>0</v>
      </c>
      <c r="F25" s="342">
        <f t="shared" si="4"/>
        <v>0</v>
      </c>
      <c r="G25" s="341">
        <v>0</v>
      </c>
      <c r="H25" s="341">
        <v>0</v>
      </c>
      <c r="I25" s="343">
        <f t="shared" si="5"/>
        <v>0</v>
      </c>
      <c r="J25" s="344">
        <v>0</v>
      </c>
      <c r="K25" s="341">
        <v>0</v>
      </c>
      <c r="L25" s="343">
        <f t="shared" si="6"/>
        <v>0</v>
      </c>
      <c r="M25" s="344">
        <v>0</v>
      </c>
      <c r="N25" s="341">
        <v>0</v>
      </c>
      <c r="O25" s="343">
        <f t="shared" si="7"/>
        <v>0</v>
      </c>
      <c r="P25" s="344">
        <v>0</v>
      </c>
      <c r="Q25" s="341">
        <v>0</v>
      </c>
      <c r="R25" s="343">
        <f t="shared" si="51"/>
        <v>0</v>
      </c>
      <c r="S25" s="341">
        <v>0</v>
      </c>
      <c r="T25" s="341">
        <v>0</v>
      </c>
      <c r="U25" s="342">
        <f t="shared" si="8"/>
        <v>0</v>
      </c>
      <c r="V25" s="344">
        <v>0</v>
      </c>
      <c r="W25" s="341">
        <v>0</v>
      </c>
      <c r="X25" s="343">
        <f t="shared" si="9"/>
        <v>0</v>
      </c>
      <c r="Y25" s="344">
        <v>0</v>
      </c>
      <c r="Z25" s="341">
        <v>0</v>
      </c>
      <c r="AA25" s="342">
        <f>IFERROR(Z25/Y25,0%)</f>
        <v>0</v>
      </c>
      <c r="AB25" s="344">
        <v>0</v>
      </c>
      <c r="AC25" s="341">
        <v>0</v>
      </c>
      <c r="AD25" s="342">
        <f t="shared" si="10"/>
        <v>0</v>
      </c>
      <c r="AE25" s="341">
        <v>0</v>
      </c>
      <c r="AF25" s="341">
        <v>0</v>
      </c>
      <c r="AG25" s="342">
        <f t="shared" si="11"/>
        <v>0</v>
      </c>
      <c r="AH25" s="341">
        <v>0</v>
      </c>
      <c r="AI25" s="341">
        <f>AO42*10^6</f>
        <v>0</v>
      </c>
      <c r="AJ25" s="342">
        <f t="shared" si="12"/>
        <v>0</v>
      </c>
      <c r="AK25" s="344">
        <v>0</v>
      </c>
      <c r="AL25" s="341">
        <f>AO42*10^6</f>
        <v>0</v>
      </c>
      <c r="AM25" s="342">
        <f t="shared" si="13"/>
        <v>0</v>
      </c>
      <c r="AN25" s="344">
        <v>0</v>
      </c>
      <c r="AO25" s="341">
        <v>0</v>
      </c>
      <c r="AP25" s="342">
        <f t="shared" si="14"/>
        <v>0</v>
      </c>
      <c r="AQ25" s="341">
        <f>M25+J25+G25</f>
        <v>0</v>
      </c>
      <c r="AR25" s="341">
        <f>N25+K25+H25</f>
        <v>0</v>
      </c>
      <c r="AS25" s="343">
        <f t="shared" si="15"/>
        <v>0</v>
      </c>
      <c r="AT25" s="341">
        <f t="shared" si="88"/>
        <v>0</v>
      </c>
      <c r="AU25" s="341">
        <f t="shared" si="89"/>
        <v>0</v>
      </c>
      <c r="AV25" s="343">
        <f t="shared" si="17"/>
        <v>0</v>
      </c>
      <c r="AW25" s="341">
        <f t="shared" si="18"/>
        <v>0</v>
      </c>
      <c r="AX25" s="341">
        <f t="shared" si="90"/>
        <v>0</v>
      </c>
      <c r="AY25" s="343">
        <f t="shared" si="20"/>
        <v>0</v>
      </c>
      <c r="AZ25" s="341">
        <f t="shared" si="21"/>
        <v>0</v>
      </c>
      <c r="BA25" s="341">
        <f t="shared" si="22"/>
        <v>0</v>
      </c>
      <c r="BB25" s="343">
        <f t="shared" si="23"/>
        <v>0</v>
      </c>
      <c r="BC25" s="341">
        <f t="shared" si="91"/>
        <v>0</v>
      </c>
      <c r="BD25" s="341">
        <f t="shared" si="92"/>
        <v>0</v>
      </c>
      <c r="BE25" s="343">
        <f t="shared" si="25"/>
        <v>0</v>
      </c>
      <c r="BF25" s="244"/>
      <c r="BG25" s="39"/>
      <c r="BO25" s="497" t="s">
        <v>9</v>
      </c>
      <c r="BP25" s="500" t="s">
        <v>38</v>
      </c>
      <c r="BQ25" s="355" t="s">
        <v>39</v>
      </c>
      <c r="BR25" s="341">
        <f>BU25+BX25+CA25+CD25+CG25+CJ25+CM25+CP25+CS25+CV25+CY25+DB25</f>
        <v>96000000</v>
      </c>
      <c r="BS25" s="341">
        <f>BV25+BY25+CB25+CE25+CH25+CK25+CN25+CQ25+CT25+CW25+CZ25+DC25</f>
        <v>0</v>
      </c>
      <c r="BT25" s="342">
        <f t="shared" si="106"/>
        <v>0</v>
      </c>
      <c r="BU25" s="341">
        <v>96000000</v>
      </c>
      <c r="BV25" s="341">
        <f>CB44*10^6</f>
        <v>0</v>
      </c>
      <c r="BW25" s="343">
        <f t="shared" si="93"/>
        <v>0</v>
      </c>
      <c r="BX25" s="344">
        <v>0</v>
      </c>
      <c r="BY25" s="341"/>
      <c r="BZ25" s="343">
        <f t="shared" si="28"/>
        <v>0</v>
      </c>
      <c r="CA25" s="344">
        <v>0</v>
      </c>
      <c r="CB25" s="341"/>
      <c r="CC25" s="343">
        <f t="shared" si="29"/>
        <v>0</v>
      </c>
      <c r="CD25" s="344">
        <v>0</v>
      </c>
      <c r="CE25" s="341"/>
      <c r="CF25" s="343">
        <f t="shared" si="173"/>
        <v>0</v>
      </c>
      <c r="CG25" s="341">
        <v>0</v>
      </c>
      <c r="CH25" s="341"/>
      <c r="CI25" s="342">
        <f t="shared" si="119"/>
        <v>0</v>
      </c>
      <c r="CJ25" s="344">
        <v>0</v>
      </c>
      <c r="CK25" s="341"/>
      <c r="CL25" s="343">
        <f t="shared" si="31"/>
        <v>0</v>
      </c>
      <c r="CM25" s="344">
        <v>0</v>
      </c>
      <c r="CN25" s="341"/>
      <c r="CO25" s="342">
        <f>IFERROR(CN25/CM25,0%)</f>
        <v>0</v>
      </c>
      <c r="CP25" s="344">
        <v>0</v>
      </c>
      <c r="CQ25" s="341"/>
      <c r="CR25" s="342">
        <f t="shared" si="167"/>
        <v>0</v>
      </c>
      <c r="CS25" s="341">
        <v>0</v>
      </c>
      <c r="CT25" s="341"/>
      <c r="CU25" s="342">
        <f t="shared" si="33"/>
        <v>0</v>
      </c>
      <c r="CV25" s="341">
        <v>0</v>
      </c>
      <c r="CW25" s="341"/>
      <c r="CX25" s="342">
        <f t="shared" si="34"/>
        <v>0</v>
      </c>
      <c r="CY25" s="344">
        <v>0</v>
      </c>
      <c r="CZ25" s="341"/>
      <c r="DA25" s="342">
        <f t="shared" si="35"/>
        <v>0</v>
      </c>
      <c r="DB25" s="344">
        <v>0</v>
      </c>
      <c r="DC25" s="341"/>
      <c r="DD25" s="342">
        <f t="shared" si="36"/>
        <v>0</v>
      </c>
      <c r="DE25" s="341">
        <f>CA25+BX25+BU25</f>
        <v>96000000</v>
      </c>
      <c r="DF25" s="341">
        <f>CB25+BY25+BV25</f>
        <v>0</v>
      </c>
      <c r="DG25" s="343">
        <f t="shared" si="37"/>
        <v>0</v>
      </c>
      <c r="DH25" s="341">
        <f t="shared" si="174"/>
        <v>0</v>
      </c>
      <c r="DI25" s="341">
        <f t="shared" si="168"/>
        <v>0</v>
      </c>
      <c r="DJ25" s="343">
        <f t="shared" si="40"/>
        <v>0</v>
      </c>
      <c r="DK25" s="341">
        <f t="shared" si="96"/>
        <v>0</v>
      </c>
      <c r="DL25" s="341">
        <f t="shared" si="169"/>
        <v>0</v>
      </c>
      <c r="DM25" s="343">
        <f t="shared" si="43"/>
        <v>0</v>
      </c>
      <c r="DN25" s="341">
        <f t="shared" si="44"/>
        <v>0</v>
      </c>
      <c r="DO25" s="341">
        <f t="shared" si="45"/>
        <v>0</v>
      </c>
      <c r="DP25" s="343">
        <f t="shared" si="46"/>
        <v>0</v>
      </c>
      <c r="DQ25" s="341">
        <f t="shared" si="98"/>
        <v>96000000</v>
      </c>
      <c r="DR25" s="341">
        <f t="shared" si="48"/>
        <v>0</v>
      </c>
      <c r="DS25" s="343">
        <f t="shared" si="49"/>
        <v>0</v>
      </c>
      <c r="DT25" s="244"/>
    </row>
    <row r="26" spans="1:124" ht="15">
      <c r="A26" s="497"/>
      <c r="B26" s="501"/>
      <c r="C26" s="355" t="s">
        <v>40</v>
      </c>
      <c r="D26" s="341">
        <f t="shared" ref="D26:E28" si="220">G26+J26+M26+P26+S26+V26+Y26+AB26+AE26+AH26+AK26+AN26</f>
        <v>0</v>
      </c>
      <c r="E26" s="341">
        <f t="shared" si="220"/>
        <v>0</v>
      </c>
      <c r="F26" s="342">
        <f t="shared" si="4"/>
        <v>0</v>
      </c>
      <c r="G26" s="341">
        <v>0</v>
      </c>
      <c r="H26" s="341">
        <v>0</v>
      </c>
      <c r="I26" s="343">
        <f t="shared" si="5"/>
        <v>0</v>
      </c>
      <c r="J26" s="344">
        <v>0</v>
      </c>
      <c r="K26" s="341">
        <v>0</v>
      </c>
      <c r="L26" s="343">
        <f t="shared" si="6"/>
        <v>0</v>
      </c>
      <c r="M26" s="344">
        <v>0</v>
      </c>
      <c r="N26" s="341">
        <v>0</v>
      </c>
      <c r="O26" s="343">
        <f t="shared" si="7"/>
        <v>0</v>
      </c>
      <c r="P26" s="344">
        <v>0</v>
      </c>
      <c r="Q26" s="341">
        <v>0</v>
      </c>
      <c r="R26" s="343">
        <f t="shared" si="51"/>
        <v>0</v>
      </c>
      <c r="S26" s="341">
        <v>0</v>
      </c>
      <c r="T26" s="341">
        <v>0</v>
      </c>
      <c r="U26" s="342">
        <f t="shared" si="8"/>
        <v>0</v>
      </c>
      <c r="V26" s="344">
        <v>0</v>
      </c>
      <c r="W26" s="341">
        <v>0</v>
      </c>
      <c r="X26" s="343">
        <f t="shared" si="9"/>
        <v>0</v>
      </c>
      <c r="Y26" s="344">
        <v>0</v>
      </c>
      <c r="Z26" s="341">
        <v>0</v>
      </c>
      <c r="AA26" s="342">
        <f>IFERROR(Z26/Y26,0%)</f>
        <v>0</v>
      </c>
      <c r="AB26" s="347"/>
      <c r="AC26" s="341"/>
      <c r="AD26" s="342">
        <f>IFERROR(AC11/AB11,0%)</f>
        <v>0.60377712781668702</v>
      </c>
      <c r="AE26" s="341">
        <v>0</v>
      </c>
      <c r="AF26" s="341">
        <v>0</v>
      </c>
      <c r="AG26" s="342">
        <f t="shared" si="11"/>
        <v>0</v>
      </c>
      <c r="AH26" s="341">
        <v>0</v>
      </c>
      <c r="AI26" s="341">
        <f>AO43*10^6</f>
        <v>0</v>
      </c>
      <c r="AJ26" s="342">
        <f t="shared" si="12"/>
        <v>0</v>
      </c>
      <c r="AK26" s="344">
        <v>0</v>
      </c>
      <c r="AL26" s="341">
        <f t="shared" ref="AL26:AL28" si="221">AO43*10^6</f>
        <v>0</v>
      </c>
      <c r="AM26" s="342">
        <f t="shared" si="13"/>
        <v>0</v>
      </c>
      <c r="AN26" s="344">
        <v>0</v>
      </c>
      <c r="AO26" s="341">
        <v>0</v>
      </c>
      <c r="AP26" s="342">
        <f t="shared" si="14"/>
        <v>0</v>
      </c>
      <c r="AQ26" s="341">
        <f>M26+J26+G26</f>
        <v>0</v>
      </c>
      <c r="AR26" s="341">
        <f>N26+K26+H26</f>
        <v>0</v>
      </c>
      <c r="AS26" s="343">
        <f t="shared" si="15"/>
        <v>0</v>
      </c>
      <c r="AT26" s="341">
        <f t="shared" si="88"/>
        <v>0</v>
      </c>
      <c r="AU26" s="341">
        <f t="shared" si="89"/>
        <v>0</v>
      </c>
      <c r="AV26" s="343">
        <f t="shared" si="17"/>
        <v>0</v>
      </c>
      <c r="AW26" s="341"/>
      <c r="AX26" s="341"/>
      <c r="AY26" s="343">
        <f t="shared" si="20"/>
        <v>0</v>
      </c>
      <c r="AZ26" s="341">
        <f t="shared" si="21"/>
        <v>0</v>
      </c>
      <c r="BA26" s="341">
        <f t="shared" si="22"/>
        <v>0</v>
      </c>
      <c r="BB26" s="343">
        <f t="shared" si="23"/>
        <v>0</v>
      </c>
      <c r="BC26" s="341">
        <f t="shared" si="91"/>
        <v>0</v>
      </c>
      <c r="BD26" s="341">
        <f t="shared" si="92"/>
        <v>0</v>
      </c>
      <c r="BE26" s="343">
        <f t="shared" si="25"/>
        <v>0</v>
      </c>
      <c r="BF26" s="244"/>
      <c r="BG26" s="39"/>
      <c r="BO26" s="497"/>
      <c r="BP26" s="501"/>
      <c r="BQ26" s="355" t="s">
        <v>40</v>
      </c>
      <c r="BR26" s="341">
        <f t="shared" ref="BR26:BR28" si="222">BU26+BX26+CA26+CD26+CG26+CJ26+CM26+CP26+CS26+CV26+CY26+DB26</f>
        <v>0</v>
      </c>
      <c r="BS26" s="341">
        <f t="shared" ref="BS26:BS28" si="223">BV26+BY26+CB26+CE26+CH26+CK26+CN26+CQ26+CT26+CW26+CZ26+DC26</f>
        <v>0</v>
      </c>
      <c r="BT26" s="342">
        <f t="shared" si="106"/>
        <v>0</v>
      </c>
      <c r="BU26" s="341">
        <v>0</v>
      </c>
      <c r="BV26" s="341">
        <f t="shared" ref="BV26:BV28" si="224">CB45*10^6</f>
        <v>0</v>
      </c>
      <c r="BW26" s="343">
        <f t="shared" si="93"/>
        <v>0</v>
      </c>
      <c r="BX26" s="344">
        <v>0</v>
      </c>
      <c r="BY26" s="341"/>
      <c r="BZ26" s="343">
        <f t="shared" si="28"/>
        <v>0</v>
      </c>
      <c r="CA26" s="344">
        <v>0</v>
      </c>
      <c r="CB26" s="341"/>
      <c r="CC26" s="343">
        <f t="shared" si="29"/>
        <v>0</v>
      </c>
      <c r="CD26" s="344">
        <v>0</v>
      </c>
      <c r="CE26" s="341"/>
      <c r="CF26" s="343">
        <f t="shared" si="173"/>
        <v>0</v>
      </c>
      <c r="CG26" s="341">
        <v>0</v>
      </c>
      <c r="CH26" s="341"/>
      <c r="CI26" s="342">
        <f t="shared" si="119"/>
        <v>0</v>
      </c>
      <c r="CJ26" s="344">
        <v>0</v>
      </c>
      <c r="CK26" s="341"/>
      <c r="CL26" s="343">
        <f t="shared" si="31"/>
        <v>0</v>
      </c>
      <c r="CM26" s="344">
        <v>0</v>
      </c>
      <c r="CN26" s="341"/>
      <c r="CO26" s="342">
        <f>IFERROR(CN26/CM26,0%)</f>
        <v>0</v>
      </c>
      <c r="CP26" s="347"/>
      <c r="CQ26" s="341"/>
      <c r="CR26" s="342">
        <f>IFERROR(CQ11/CP11,0%)</f>
        <v>0</v>
      </c>
      <c r="CS26" s="341">
        <v>0</v>
      </c>
      <c r="CT26" s="341"/>
      <c r="CU26" s="342">
        <f t="shared" si="33"/>
        <v>0</v>
      </c>
      <c r="CV26" s="341">
        <v>0</v>
      </c>
      <c r="CW26" s="341"/>
      <c r="CX26" s="342">
        <f t="shared" si="34"/>
        <v>0</v>
      </c>
      <c r="CY26" s="344">
        <v>0</v>
      </c>
      <c r="CZ26" s="341"/>
      <c r="DA26" s="342">
        <f t="shared" si="35"/>
        <v>0</v>
      </c>
      <c r="DB26" s="344">
        <v>0</v>
      </c>
      <c r="DC26" s="341"/>
      <c r="DD26" s="342">
        <f t="shared" si="36"/>
        <v>0</v>
      </c>
      <c r="DE26" s="341">
        <f>CA26+BX26+BU26</f>
        <v>0</v>
      </c>
      <c r="DF26" s="341">
        <f>CB26+BY26+BV26</f>
        <v>0</v>
      </c>
      <c r="DG26" s="343">
        <f t="shared" si="37"/>
        <v>0</v>
      </c>
      <c r="DH26" s="341">
        <f t="shared" si="174"/>
        <v>0</v>
      </c>
      <c r="DI26" s="341">
        <f t="shared" si="168"/>
        <v>0</v>
      </c>
      <c r="DJ26" s="343">
        <f t="shared" si="40"/>
        <v>0</v>
      </c>
      <c r="DK26" s="341"/>
      <c r="DL26" s="341"/>
      <c r="DM26" s="343">
        <f t="shared" si="43"/>
        <v>0</v>
      </c>
      <c r="DN26" s="341">
        <f t="shared" si="44"/>
        <v>0</v>
      </c>
      <c r="DO26" s="341">
        <f t="shared" si="45"/>
        <v>0</v>
      </c>
      <c r="DP26" s="343">
        <f t="shared" si="46"/>
        <v>0</v>
      </c>
      <c r="DQ26" s="341">
        <f t="shared" si="98"/>
        <v>0</v>
      </c>
      <c r="DR26" s="341">
        <f t="shared" si="48"/>
        <v>0</v>
      </c>
      <c r="DS26" s="343">
        <f t="shared" si="49"/>
        <v>0</v>
      </c>
      <c r="DT26" s="244"/>
    </row>
    <row r="27" spans="1:124" ht="15">
      <c r="A27" s="497"/>
      <c r="B27" s="497" t="s">
        <v>41</v>
      </c>
      <c r="C27" s="355" t="s">
        <v>103</v>
      </c>
      <c r="D27" s="341">
        <f t="shared" si="220"/>
        <v>0</v>
      </c>
      <c r="E27" s="341">
        <f t="shared" si="220"/>
        <v>0</v>
      </c>
      <c r="F27" s="342">
        <f t="shared" si="4"/>
        <v>0</v>
      </c>
      <c r="G27" s="341">
        <v>0</v>
      </c>
      <c r="H27" s="341">
        <f>B71</f>
        <v>0</v>
      </c>
      <c r="I27" s="343">
        <f t="shared" si="5"/>
        <v>0</v>
      </c>
      <c r="J27" s="344">
        <v>0</v>
      </c>
      <c r="K27" s="341">
        <f>C71</f>
        <v>0</v>
      </c>
      <c r="L27" s="343">
        <f t="shared" si="6"/>
        <v>0</v>
      </c>
      <c r="M27" s="344">
        <v>0</v>
      </c>
      <c r="N27" s="341">
        <f>D71</f>
        <v>0</v>
      </c>
      <c r="O27" s="343">
        <f t="shared" si="7"/>
        <v>0</v>
      </c>
      <c r="P27" s="344">
        <v>0</v>
      </c>
      <c r="Q27" s="341">
        <f>E71</f>
        <v>0</v>
      </c>
      <c r="R27" s="343">
        <f t="shared" si="51"/>
        <v>0</v>
      </c>
      <c r="S27" s="341">
        <v>0</v>
      </c>
      <c r="T27" s="341">
        <f>F71</f>
        <v>0</v>
      </c>
      <c r="U27" s="342">
        <f t="shared" si="8"/>
        <v>0</v>
      </c>
      <c r="V27" s="344">
        <v>0</v>
      </c>
      <c r="W27" s="341">
        <f>G71</f>
        <v>0</v>
      </c>
      <c r="X27" s="343">
        <f t="shared" si="9"/>
        <v>0</v>
      </c>
      <c r="Y27" s="344">
        <v>0</v>
      </c>
      <c r="Z27" s="341">
        <f>H71</f>
        <v>0</v>
      </c>
      <c r="AA27" s="342">
        <f>IFERROR(Z27/Y27,0%)</f>
        <v>0</v>
      </c>
      <c r="AB27" s="344">
        <v>0</v>
      </c>
      <c r="AC27" s="341">
        <f>I71</f>
        <v>0</v>
      </c>
      <c r="AD27" s="342">
        <f t="shared" si="10"/>
        <v>0</v>
      </c>
      <c r="AE27" s="341">
        <v>0</v>
      </c>
      <c r="AF27" s="341">
        <f>J71</f>
        <v>0</v>
      </c>
      <c r="AG27" s="342">
        <f t="shared" si="11"/>
        <v>0</v>
      </c>
      <c r="AH27" s="341">
        <v>0</v>
      </c>
      <c r="AI27" s="341">
        <f>K71</f>
        <v>0</v>
      </c>
      <c r="AJ27" s="342">
        <f t="shared" si="12"/>
        <v>0</v>
      </c>
      <c r="AK27" s="344">
        <v>0</v>
      </c>
      <c r="AL27" s="341">
        <f>L71</f>
        <v>0</v>
      </c>
      <c r="AM27" s="342">
        <f t="shared" si="13"/>
        <v>0</v>
      </c>
      <c r="AN27" s="344">
        <v>0</v>
      </c>
      <c r="AO27" s="341">
        <v>0</v>
      </c>
      <c r="AP27" s="342">
        <f t="shared" si="14"/>
        <v>0</v>
      </c>
      <c r="AQ27" s="341">
        <f>M27+J27+G27</f>
        <v>0</v>
      </c>
      <c r="AR27" s="341">
        <f>N27+K27+H27</f>
        <v>0</v>
      </c>
      <c r="AS27" s="343">
        <f t="shared" si="15"/>
        <v>0</v>
      </c>
      <c r="AT27" s="341">
        <f t="shared" si="88"/>
        <v>0</v>
      </c>
      <c r="AU27" s="341">
        <f t="shared" si="89"/>
        <v>0</v>
      </c>
      <c r="AV27" s="343">
        <f t="shared" si="17"/>
        <v>0</v>
      </c>
      <c r="AW27" s="345">
        <f t="shared" si="18"/>
        <v>0</v>
      </c>
      <c r="AX27" s="346">
        <f t="shared" si="90"/>
        <v>0</v>
      </c>
      <c r="AY27" s="343">
        <f t="shared" si="20"/>
        <v>0</v>
      </c>
      <c r="AZ27" s="345">
        <f t="shared" si="21"/>
        <v>0</v>
      </c>
      <c r="BA27" s="346">
        <f t="shared" si="22"/>
        <v>0</v>
      </c>
      <c r="BB27" s="343">
        <f t="shared" si="23"/>
        <v>0</v>
      </c>
      <c r="BC27" s="345">
        <f t="shared" si="91"/>
        <v>0</v>
      </c>
      <c r="BD27" s="345">
        <f t="shared" si="92"/>
        <v>0</v>
      </c>
      <c r="BE27" s="343">
        <f t="shared" si="25"/>
        <v>0</v>
      </c>
      <c r="BF27" s="244"/>
      <c r="BG27" s="39"/>
      <c r="BO27" s="497"/>
      <c r="BP27" s="497" t="s">
        <v>41</v>
      </c>
      <c r="BQ27" s="355" t="s">
        <v>103</v>
      </c>
      <c r="BR27" s="341">
        <f t="shared" si="222"/>
        <v>0</v>
      </c>
      <c r="BS27" s="341">
        <f t="shared" si="223"/>
        <v>0</v>
      </c>
      <c r="BT27" s="342">
        <f t="shared" si="106"/>
        <v>0</v>
      </c>
      <c r="BU27" s="341">
        <v>0</v>
      </c>
      <c r="BV27" s="341">
        <f>CB47*10^6</f>
        <v>0</v>
      </c>
      <c r="BW27" s="343">
        <f t="shared" si="93"/>
        <v>0</v>
      </c>
      <c r="BX27" s="344">
        <v>0</v>
      </c>
      <c r="BY27" s="341"/>
      <c r="BZ27" s="343">
        <f t="shared" si="28"/>
        <v>0</v>
      </c>
      <c r="CA27" s="344">
        <v>0</v>
      </c>
      <c r="CB27" s="341"/>
      <c r="CC27" s="343">
        <f t="shared" si="29"/>
        <v>0</v>
      </c>
      <c r="CD27" s="344">
        <v>0</v>
      </c>
      <c r="CE27" s="341"/>
      <c r="CF27" s="343">
        <f t="shared" si="173"/>
        <v>0</v>
      </c>
      <c r="CG27" s="341">
        <v>0</v>
      </c>
      <c r="CH27" s="341"/>
      <c r="CI27" s="342">
        <f t="shared" si="119"/>
        <v>0</v>
      </c>
      <c r="CJ27" s="344">
        <v>0</v>
      </c>
      <c r="CK27" s="341"/>
      <c r="CL27" s="343">
        <f t="shared" si="31"/>
        <v>0</v>
      </c>
      <c r="CM27" s="344">
        <v>0</v>
      </c>
      <c r="CN27" s="341"/>
      <c r="CO27" s="342">
        <f>IFERROR(CN27/CM27,0%)</f>
        <v>0</v>
      </c>
      <c r="CP27" s="344">
        <v>0</v>
      </c>
      <c r="CQ27" s="341"/>
      <c r="CR27" s="342">
        <f t="shared" ref="CR27:CR39" si="225">IFERROR(CQ27/CP27,0%)</f>
        <v>0</v>
      </c>
      <c r="CS27" s="341">
        <v>0</v>
      </c>
      <c r="CT27" s="341"/>
      <c r="CU27" s="342">
        <f t="shared" si="33"/>
        <v>0</v>
      </c>
      <c r="CV27" s="341">
        <v>0</v>
      </c>
      <c r="CW27" s="341"/>
      <c r="CX27" s="342">
        <f t="shared" si="34"/>
        <v>0</v>
      </c>
      <c r="CY27" s="344">
        <v>0</v>
      </c>
      <c r="CZ27" s="341"/>
      <c r="DA27" s="342">
        <f t="shared" si="35"/>
        <v>0</v>
      </c>
      <c r="DB27" s="344">
        <v>0</v>
      </c>
      <c r="DC27" s="341"/>
      <c r="DD27" s="342">
        <f t="shared" si="36"/>
        <v>0</v>
      </c>
      <c r="DE27" s="341">
        <f>CA27+BX27+BU27</f>
        <v>0</v>
      </c>
      <c r="DF27" s="341">
        <f>CB27+BY27+BV27</f>
        <v>0</v>
      </c>
      <c r="DG27" s="343">
        <f t="shared" si="37"/>
        <v>0</v>
      </c>
      <c r="DH27" s="341">
        <f t="shared" si="174"/>
        <v>0</v>
      </c>
      <c r="DI27" s="341">
        <f t="shared" si="168"/>
        <v>0</v>
      </c>
      <c r="DJ27" s="343">
        <f t="shared" si="40"/>
        <v>0</v>
      </c>
      <c r="DK27" s="345">
        <f t="shared" ref="DK27:DK39" si="226">CM27+CP27+CS27</f>
        <v>0</v>
      </c>
      <c r="DL27" s="346">
        <f t="shared" ref="DL27:DL39" si="227">CN27+CQ27+CT27</f>
        <v>0</v>
      </c>
      <c r="DM27" s="343">
        <f t="shared" si="43"/>
        <v>0</v>
      </c>
      <c r="DN27" s="345">
        <f t="shared" si="44"/>
        <v>0</v>
      </c>
      <c r="DO27" s="346">
        <f t="shared" si="45"/>
        <v>0</v>
      </c>
      <c r="DP27" s="343">
        <f t="shared" si="46"/>
        <v>0</v>
      </c>
      <c r="DQ27" s="345">
        <f t="shared" si="98"/>
        <v>0</v>
      </c>
      <c r="DR27" s="345">
        <f t="shared" si="48"/>
        <v>0</v>
      </c>
      <c r="DS27" s="343">
        <f t="shared" si="49"/>
        <v>0</v>
      </c>
      <c r="DT27" s="244"/>
    </row>
    <row r="28" spans="1:124" ht="15">
      <c r="A28" s="498"/>
      <c r="B28" s="498"/>
      <c r="C28" s="355" t="s">
        <v>104</v>
      </c>
      <c r="D28" s="341">
        <f t="shared" si="220"/>
        <v>0</v>
      </c>
      <c r="E28" s="341">
        <f t="shared" si="220"/>
        <v>4021768358</v>
      </c>
      <c r="F28" s="342">
        <f t="shared" si="4"/>
        <v>0</v>
      </c>
      <c r="G28" s="341">
        <v>0</v>
      </c>
      <c r="H28" s="341">
        <f>B54</f>
        <v>241792842</v>
      </c>
      <c r="I28" s="343">
        <f t="shared" si="5"/>
        <v>0</v>
      </c>
      <c r="J28" s="344">
        <v>0</v>
      </c>
      <c r="K28" s="341">
        <f>C54</f>
        <v>203151666</v>
      </c>
      <c r="L28" s="343">
        <f t="shared" si="6"/>
        <v>0</v>
      </c>
      <c r="M28" s="344">
        <v>0</v>
      </c>
      <c r="N28" s="341">
        <f>D54</f>
        <v>790527061</v>
      </c>
      <c r="O28" s="343">
        <f t="shared" si="7"/>
        <v>0</v>
      </c>
      <c r="P28" s="344">
        <v>0</v>
      </c>
      <c r="Q28" s="341">
        <f>E54</f>
        <v>170512232</v>
      </c>
      <c r="R28" s="343">
        <f t="shared" si="51"/>
        <v>0</v>
      </c>
      <c r="S28" s="341">
        <v>0</v>
      </c>
      <c r="T28" s="341">
        <f>F54</f>
        <v>266096274</v>
      </c>
      <c r="U28" s="342">
        <f t="shared" si="8"/>
        <v>0</v>
      </c>
      <c r="V28" s="344">
        <v>0</v>
      </c>
      <c r="W28" s="341">
        <f>G54</f>
        <v>169458791</v>
      </c>
      <c r="X28" s="343">
        <f t="shared" si="9"/>
        <v>0</v>
      </c>
      <c r="Y28" s="344">
        <v>0</v>
      </c>
      <c r="Z28" s="341">
        <f>H54</f>
        <v>134013523</v>
      </c>
      <c r="AA28" s="342">
        <f>IFERROR(Z28/Y28,0%)</f>
        <v>0</v>
      </c>
      <c r="AB28" s="344">
        <v>0</v>
      </c>
      <c r="AC28" s="341">
        <f>I54</f>
        <v>109806380</v>
      </c>
      <c r="AD28" s="342">
        <f t="shared" si="10"/>
        <v>0</v>
      </c>
      <c r="AE28" s="341">
        <v>0</v>
      </c>
      <c r="AF28" s="341">
        <f>J54</f>
        <v>19108637</v>
      </c>
      <c r="AG28" s="342">
        <f t="shared" si="11"/>
        <v>0</v>
      </c>
      <c r="AH28" s="341">
        <v>0</v>
      </c>
      <c r="AI28" s="341">
        <f>K54</f>
        <v>427196592</v>
      </c>
      <c r="AJ28" s="342">
        <f t="shared" si="12"/>
        <v>0</v>
      </c>
      <c r="AK28" s="344">
        <v>0</v>
      </c>
      <c r="AL28" s="341">
        <f>L54</f>
        <v>1021869527</v>
      </c>
      <c r="AM28" s="342">
        <f t="shared" si="13"/>
        <v>0</v>
      </c>
      <c r="AN28" s="344">
        <v>0</v>
      </c>
      <c r="AO28" s="341">
        <f>M54</f>
        <v>468234833</v>
      </c>
      <c r="AP28" s="342">
        <f t="shared" si="14"/>
        <v>0</v>
      </c>
      <c r="AQ28" s="341">
        <f>M28+J28+G28</f>
        <v>0</v>
      </c>
      <c r="AR28" s="341">
        <f>N28+K28+H28</f>
        <v>1235471569</v>
      </c>
      <c r="AS28" s="343">
        <f t="shared" si="15"/>
        <v>0</v>
      </c>
      <c r="AT28" s="341">
        <f t="shared" si="88"/>
        <v>0</v>
      </c>
      <c r="AU28" s="341">
        <f t="shared" si="89"/>
        <v>606067297</v>
      </c>
      <c r="AV28" s="343">
        <f t="shared" si="17"/>
        <v>0</v>
      </c>
      <c r="AW28" s="341">
        <f t="shared" si="18"/>
        <v>0</v>
      </c>
      <c r="AX28" s="341">
        <f t="shared" si="90"/>
        <v>262928540</v>
      </c>
      <c r="AY28" s="343">
        <f t="shared" si="20"/>
        <v>0</v>
      </c>
      <c r="AZ28" s="341">
        <f t="shared" si="21"/>
        <v>0</v>
      </c>
      <c r="BA28" s="341">
        <f t="shared" si="22"/>
        <v>1917300952</v>
      </c>
      <c r="BB28" s="343">
        <f t="shared" si="23"/>
        <v>0</v>
      </c>
      <c r="BC28" s="341">
        <f t="shared" si="91"/>
        <v>0</v>
      </c>
      <c r="BD28" s="341">
        <f t="shared" si="92"/>
        <v>3553533525</v>
      </c>
      <c r="BE28" s="343">
        <f t="shared" si="25"/>
        <v>0</v>
      </c>
      <c r="BF28" s="244"/>
      <c r="BG28" s="39"/>
      <c r="BO28" s="498"/>
      <c r="BP28" s="498"/>
      <c r="BQ28" s="355" t="s">
        <v>104</v>
      </c>
      <c r="BR28" s="341">
        <f t="shared" si="222"/>
        <v>1279000000</v>
      </c>
      <c r="BS28" s="341">
        <f t="shared" si="223"/>
        <v>343000000</v>
      </c>
      <c r="BT28" s="342">
        <f t="shared" si="106"/>
        <v>0.26817826426896013</v>
      </c>
      <c r="BU28" s="341">
        <v>1279000000</v>
      </c>
      <c r="BV28" s="341">
        <f>CB46*10^6</f>
        <v>343000000</v>
      </c>
      <c r="BW28" s="343">
        <f t="shared" si="93"/>
        <v>0.26817826426896013</v>
      </c>
      <c r="BX28" s="344">
        <v>0</v>
      </c>
      <c r="BY28" s="341"/>
      <c r="BZ28" s="343">
        <f t="shared" si="28"/>
        <v>0</v>
      </c>
      <c r="CA28" s="344">
        <v>0</v>
      </c>
      <c r="CB28" s="341"/>
      <c r="CC28" s="343">
        <f t="shared" si="29"/>
        <v>0</v>
      </c>
      <c r="CD28" s="344">
        <v>0</v>
      </c>
      <c r="CE28" s="341"/>
      <c r="CF28" s="343">
        <f t="shared" si="173"/>
        <v>0</v>
      </c>
      <c r="CG28" s="341">
        <v>0</v>
      </c>
      <c r="CH28" s="341"/>
      <c r="CI28" s="342">
        <f t="shared" si="119"/>
        <v>0</v>
      </c>
      <c r="CJ28" s="344">
        <v>0</v>
      </c>
      <c r="CK28" s="341"/>
      <c r="CL28" s="343">
        <f t="shared" si="31"/>
        <v>0</v>
      </c>
      <c r="CM28" s="344">
        <v>0</v>
      </c>
      <c r="CN28" s="341"/>
      <c r="CO28" s="342">
        <f>IFERROR(CN28/CM28,0%)</f>
        <v>0</v>
      </c>
      <c r="CP28" s="344">
        <v>0</v>
      </c>
      <c r="CQ28" s="341"/>
      <c r="CR28" s="342">
        <f t="shared" si="225"/>
        <v>0</v>
      </c>
      <c r="CS28" s="341">
        <v>0</v>
      </c>
      <c r="CT28" s="341"/>
      <c r="CU28" s="342">
        <f t="shared" si="33"/>
        <v>0</v>
      </c>
      <c r="CV28" s="341">
        <v>0</v>
      </c>
      <c r="CW28" s="341"/>
      <c r="CX28" s="342">
        <f t="shared" si="34"/>
        <v>0</v>
      </c>
      <c r="CY28" s="344">
        <v>0</v>
      </c>
      <c r="CZ28" s="341"/>
      <c r="DA28" s="342">
        <f t="shared" si="35"/>
        <v>0</v>
      </c>
      <c r="DB28" s="344">
        <v>0</v>
      </c>
      <c r="DC28" s="341"/>
      <c r="DD28" s="342">
        <f t="shared" si="36"/>
        <v>0</v>
      </c>
      <c r="DE28" s="341">
        <f>CA28+BX28+BU28</f>
        <v>1279000000</v>
      </c>
      <c r="DF28" s="341">
        <f>CB28+BY28+BV28</f>
        <v>343000000</v>
      </c>
      <c r="DG28" s="343">
        <f t="shared" si="37"/>
        <v>0.26817826426896013</v>
      </c>
      <c r="DH28" s="341">
        <f t="shared" si="174"/>
        <v>0</v>
      </c>
      <c r="DI28" s="341">
        <f t="shared" si="168"/>
        <v>0</v>
      </c>
      <c r="DJ28" s="343">
        <f t="shared" si="40"/>
        <v>0</v>
      </c>
      <c r="DK28" s="341">
        <f t="shared" si="226"/>
        <v>0</v>
      </c>
      <c r="DL28" s="341">
        <f t="shared" si="227"/>
        <v>0</v>
      </c>
      <c r="DM28" s="343">
        <f t="shared" si="43"/>
        <v>0</v>
      </c>
      <c r="DN28" s="341">
        <f t="shared" si="44"/>
        <v>0</v>
      </c>
      <c r="DO28" s="341">
        <f t="shared" si="45"/>
        <v>0</v>
      </c>
      <c r="DP28" s="343">
        <f t="shared" si="46"/>
        <v>0</v>
      </c>
      <c r="DQ28" s="341">
        <f t="shared" si="98"/>
        <v>1279000000</v>
      </c>
      <c r="DR28" s="341">
        <f t="shared" si="48"/>
        <v>343000000</v>
      </c>
      <c r="DS28" s="343">
        <f t="shared" si="49"/>
        <v>0.26817826426896013</v>
      </c>
      <c r="DT28" s="244"/>
    </row>
    <row r="29" spans="1:124" ht="15">
      <c r="A29" s="525" t="s">
        <v>105</v>
      </c>
      <c r="B29" s="526"/>
      <c r="C29" s="526"/>
      <c r="D29" s="338">
        <f>SUM(D25:D28)</f>
        <v>0</v>
      </c>
      <c r="E29" s="338">
        <f>SUM(E25:E28)</f>
        <v>4021768358</v>
      </c>
      <c r="F29" s="339">
        <f t="shared" ref="F29" si="228">IFERROR(E29/D29,0%)</f>
        <v>0</v>
      </c>
      <c r="G29" s="338">
        <f t="shared" ref="G29" si="229">SUM(G25:G28)</f>
        <v>0</v>
      </c>
      <c r="H29" s="338">
        <f t="shared" ref="H29" si="230">SUM(H25:H28)</f>
        <v>241792842</v>
      </c>
      <c r="I29" s="340">
        <f t="shared" si="5"/>
        <v>0</v>
      </c>
      <c r="J29" s="338">
        <f t="shared" ref="J29" si="231">SUM(J25:J28)</f>
        <v>0</v>
      </c>
      <c r="K29" s="338">
        <f t="shared" ref="K29" si="232">SUM(K25:K28)</f>
        <v>203151666</v>
      </c>
      <c r="L29" s="340">
        <f t="shared" si="6"/>
        <v>0</v>
      </c>
      <c r="M29" s="338">
        <f t="shared" ref="M29" si="233">SUM(M25:M28)</f>
        <v>0</v>
      </c>
      <c r="N29" s="338">
        <f t="shared" ref="N29" si="234">SUM(N25:N28)</f>
        <v>790527061</v>
      </c>
      <c r="O29" s="340">
        <f t="shared" si="7"/>
        <v>0</v>
      </c>
      <c r="P29" s="338">
        <v>0</v>
      </c>
      <c r="Q29" s="338">
        <v>138000000</v>
      </c>
      <c r="R29" s="340">
        <f t="shared" ref="R29" si="235">IFERROR(Q29/P29,0%)</f>
        <v>0</v>
      </c>
      <c r="S29" s="338">
        <f t="shared" ref="S29" si="236">SUM(S25:S28)</f>
        <v>0</v>
      </c>
      <c r="T29" s="338">
        <f t="shared" ref="T29" si="237">SUM(T25:T28)</f>
        <v>266096274</v>
      </c>
      <c r="U29" s="339">
        <f t="shared" ref="U29" si="238">IFERROR(T29/S29,0%)</f>
        <v>0</v>
      </c>
      <c r="V29" s="338">
        <f t="shared" ref="V29" si="239">SUM(V25:V28)</f>
        <v>0</v>
      </c>
      <c r="W29" s="338">
        <v>69000000</v>
      </c>
      <c r="X29" s="340">
        <f t="shared" ref="X29" si="240">IFERROR(W29/V29,0%)</f>
        <v>0</v>
      </c>
      <c r="Y29" s="338">
        <f t="shared" ref="Y29:Z29" si="241">SUM(Y25:Y28)</f>
        <v>0</v>
      </c>
      <c r="Z29" s="338">
        <f t="shared" si="241"/>
        <v>134013523</v>
      </c>
      <c r="AA29" s="339">
        <f>IFERROR(Z29/Y29,0%)</f>
        <v>0</v>
      </c>
      <c r="AB29" s="338">
        <f t="shared" ref="AB29:AC29" si="242">SUM(AB25:AB28)</f>
        <v>0</v>
      </c>
      <c r="AC29" s="338">
        <f t="shared" si="242"/>
        <v>109806380</v>
      </c>
      <c r="AD29" s="339">
        <f t="shared" ref="AD29" si="243">IFERROR(AC29/AB29,0%)</f>
        <v>0</v>
      </c>
      <c r="AE29" s="338">
        <f t="shared" ref="AE29" si="244">SUM(AE25:AE28)</f>
        <v>0</v>
      </c>
      <c r="AF29" s="338">
        <f t="shared" ref="AF29" si="245">SUM(AF25:AF28)</f>
        <v>19108637</v>
      </c>
      <c r="AG29" s="339">
        <f t="shared" ref="AG29" si="246">IFERROR(AF29/AE29,0%)</f>
        <v>0</v>
      </c>
      <c r="AH29" s="338">
        <f t="shared" ref="AH29" si="247">SUM(AH25:AH28)</f>
        <v>0</v>
      </c>
      <c r="AI29" s="338">
        <f t="shared" ref="AI29" si="248">SUM(AI25:AI28)</f>
        <v>427196592</v>
      </c>
      <c r="AJ29" s="339">
        <f t="shared" ref="AJ29" si="249">IFERROR(AI29/AH29,0%)</f>
        <v>0</v>
      </c>
      <c r="AK29" s="338">
        <f t="shared" ref="AK29" si="250">SUM(AK25:AK28)</f>
        <v>0</v>
      </c>
      <c r="AL29" s="338">
        <f t="shared" ref="AL29" si="251">SUM(AL25:AL28)</f>
        <v>1021869527</v>
      </c>
      <c r="AM29" s="339">
        <f t="shared" ref="AM29" si="252">IFERROR(AL29/AK29,0%)</f>
        <v>0</v>
      </c>
      <c r="AN29" s="338">
        <f t="shared" ref="AN29" si="253">SUM(AN25:AN28)</f>
        <v>0</v>
      </c>
      <c r="AO29" s="338">
        <f t="shared" ref="AO29" si="254">SUM(AO25:AO28)</f>
        <v>468234833</v>
      </c>
      <c r="AP29" s="339">
        <f t="shared" ref="AP29" si="255">IFERROR(AO29/AN29,0%)</f>
        <v>0</v>
      </c>
      <c r="AQ29" s="338">
        <f t="shared" ref="AQ29" si="256">SUM(AQ25:AQ28)</f>
        <v>0</v>
      </c>
      <c r="AR29" s="338">
        <f t="shared" ref="AR29" si="257">SUM(AR25:AR28)</f>
        <v>1235471569</v>
      </c>
      <c r="AS29" s="340">
        <f t="shared" si="15"/>
        <v>0</v>
      </c>
      <c r="AT29" s="338">
        <f t="shared" si="88"/>
        <v>0</v>
      </c>
      <c r="AU29" s="338">
        <f t="shared" si="89"/>
        <v>473096274</v>
      </c>
      <c r="AV29" s="340">
        <f t="shared" si="17"/>
        <v>0</v>
      </c>
      <c r="AW29" s="338">
        <f t="shared" si="18"/>
        <v>0</v>
      </c>
      <c r="AX29" s="338">
        <f t="shared" si="90"/>
        <v>262928540</v>
      </c>
      <c r="AY29" s="340">
        <f t="shared" si="20"/>
        <v>0</v>
      </c>
      <c r="AZ29" s="338">
        <f t="shared" si="21"/>
        <v>0</v>
      </c>
      <c r="BA29" s="338">
        <f t="shared" si="22"/>
        <v>1917300952</v>
      </c>
      <c r="BB29" s="340">
        <f t="shared" si="23"/>
        <v>0</v>
      </c>
      <c r="BC29" s="338">
        <f t="shared" si="91"/>
        <v>0</v>
      </c>
      <c r="BD29" s="338">
        <f t="shared" si="92"/>
        <v>3420562502</v>
      </c>
      <c r="BE29" s="340">
        <f t="shared" si="25"/>
        <v>0</v>
      </c>
      <c r="BF29" s="244"/>
      <c r="BG29" s="39"/>
      <c r="BO29" s="525" t="s">
        <v>105</v>
      </c>
      <c r="BP29" s="526"/>
      <c r="BQ29" s="526"/>
      <c r="BR29" s="338">
        <f>SUM(BR25:BR28)</f>
        <v>1375000000</v>
      </c>
      <c r="BS29" s="338">
        <f>SUM(BS25:BS28)</f>
        <v>343000000</v>
      </c>
      <c r="BT29" s="339">
        <f t="shared" si="106"/>
        <v>0.24945454545454546</v>
      </c>
      <c r="BU29" s="338">
        <f t="shared" ref="BU29:BV29" si="258">SUM(BU25:BU28)</f>
        <v>1375000000</v>
      </c>
      <c r="BV29" s="338">
        <f t="shared" si="258"/>
        <v>343000000</v>
      </c>
      <c r="BW29" s="340">
        <f t="shared" si="93"/>
        <v>0.24945454545454546</v>
      </c>
      <c r="BX29" s="338">
        <f t="shared" ref="BX29:BY29" si="259">SUM(BX25:BX28)</f>
        <v>0</v>
      </c>
      <c r="BY29" s="338"/>
      <c r="BZ29" s="340">
        <f t="shared" si="28"/>
        <v>0</v>
      </c>
      <c r="CA29" s="338">
        <f t="shared" ref="CA29:CB29" si="260">SUM(CA25:CA28)</f>
        <v>0</v>
      </c>
      <c r="CB29" s="338"/>
      <c r="CC29" s="340">
        <f t="shared" si="29"/>
        <v>0</v>
      </c>
      <c r="CD29" s="338">
        <v>0</v>
      </c>
      <c r="CE29" s="338"/>
      <c r="CF29" s="340">
        <f t="shared" si="173"/>
        <v>0</v>
      </c>
      <c r="CG29" s="338">
        <f t="shared" ref="CG29:CH29" si="261">SUM(CG25:CG28)</f>
        <v>0</v>
      </c>
      <c r="CH29" s="338"/>
      <c r="CI29" s="339">
        <f t="shared" si="119"/>
        <v>0</v>
      </c>
      <c r="CJ29" s="338">
        <f t="shared" ref="CJ29" si="262">SUM(CJ25:CJ28)</f>
        <v>0</v>
      </c>
      <c r="CK29" s="338"/>
      <c r="CL29" s="340">
        <f t="shared" si="31"/>
        <v>0</v>
      </c>
      <c r="CM29" s="338">
        <f t="shared" ref="CM29:CN29" si="263">SUM(CM25:CM28)</f>
        <v>0</v>
      </c>
      <c r="CN29" s="338"/>
      <c r="CO29" s="339">
        <f>IFERROR(CN29/CM29,0%)</f>
        <v>0</v>
      </c>
      <c r="CP29" s="338">
        <f t="shared" ref="CP29:CQ29" si="264">SUM(CP25:CP28)</f>
        <v>0</v>
      </c>
      <c r="CQ29" s="338"/>
      <c r="CR29" s="339">
        <f t="shared" si="225"/>
        <v>0</v>
      </c>
      <c r="CS29" s="338">
        <f t="shared" ref="CS29:CT29" si="265">SUM(CS25:CS28)</f>
        <v>0</v>
      </c>
      <c r="CT29" s="338"/>
      <c r="CU29" s="339">
        <f t="shared" si="33"/>
        <v>0</v>
      </c>
      <c r="CV29" s="338">
        <f t="shared" ref="CV29:CW29" si="266">SUM(CV25:CV28)</f>
        <v>0</v>
      </c>
      <c r="CW29" s="338"/>
      <c r="CX29" s="339">
        <f t="shared" si="34"/>
        <v>0</v>
      </c>
      <c r="CY29" s="338">
        <f t="shared" ref="CY29:CZ29" si="267">SUM(CY25:CY28)</f>
        <v>0</v>
      </c>
      <c r="CZ29" s="338"/>
      <c r="DA29" s="339">
        <f t="shared" si="35"/>
        <v>0</v>
      </c>
      <c r="DB29" s="338">
        <f t="shared" ref="DB29:DC29" si="268">SUM(DB25:DB28)</f>
        <v>0</v>
      </c>
      <c r="DC29" s="338"/>
      <c r="DD29" s="339">
        <f t="shared" si="36"/>
        <v>0</v>
      </c>
      <c r="DE29" s="338">
        <f t="shared" ref="DE29:DF29" si="269">SUM(DE25:DE28)</f>
        <v>1375000000</v>
      </c>
      <c r="DF29" s="338">
        <f t="shared" si="269"/>
        <v>343000000</v>
      </c>
      <c r="DG29" s="340">
        <f t="shared" si="37"/>
        <v>0.24945454545454546</v>
      </c>
      <c r="DH29" s="338">
        <f t="shared" si="174"/>
        <v>0</v>
      </c>
      <c r="DI29" s="338">
        <f t="shared" si="168"/>
        <v>0</v>
      </c>
      <c r="DJ29" s="340">
        <f t="shared" si="40"/>
        <v>0</v>
      </c>
      <c r="DK29" s="338">
        <f t="shared" si="226"/>
        <v>0</v>
      </c>
      <c r="DL29" s="338">
        <f t="shared" si="227"/>
        <v>0</v>
      </c>
      <c r="DM29" s="340">
        <f t="shared" si="43"/>
        <v>0</v>
      </c>
      <c r="DN29" s="338">
        <f t="shared" si="44"/>
        <v>0</v>
      </c>
      <c r="DO29" s="338">
        <f t="shared" si="45"/>
        <v>0</v>
      </c>
      <c r="DP29" s="340">
        <f t="shared" si="46"/>
        <v>0</v>
      </c>
      <c r="DQ29" s="338">
        <f t="shared" si="98"/>
        <v>1375000000</v>
      </c>
      <c r="DR29" s="338">
        <f t="shared" si="48"/>
        <v>343000000</v>
      </c>
      <c r="DS29" s="340">
        <f t="shared" si="49"/>
        <v>0.24945454545454546</v>
      </c>
      <c r="DT29" s="244"/>
    </row>
    <row r="30" spans="1:124" ht="15">
      <c r="A30" s="497" t="s">
        <v>6</v>
      </c>
      <c r="B30" s="497" t="s">
        <v>38</v>
      </c>
      <c r="C30" s="355" t="s">
        <v>39</v>
      </c>
      <c r="D30" s="341">
        <f t="shared" ref="D30" si="270">G30+J30+M30+P30+S30+V30+Y30+AB30+AE30+AH30+AK30+AN30</f>
        <v>0</v>
      </c>
      <c r="E30" s="341">
        <f>H30+K30+N30+Q30+T30+W30+Z30+AC30+AF30+AI30+AL30+AO30</f>
        <v>1247741000</v>
      </c>
      <c r="F30" s="342">
        <f t="shared" si="4"/>
        <v>0</v>
      </c>
      <c r="G30" s="341">
        <v>0</v>
      </c>
      <c r="H30" s="341">
        <v>0</v>
      </c>
      <c r="I30" s="343">
        <f t="shared" si="5"/>
        <v>0</v>
      </c>
      <c r="J30" s="344">
        <v>0</v>
      </c>
      <c r="K30" s="341">
        <v>0</v>
      </c>
      <c r="L30" s="343">
        <f t="shared" si="6"/>
        <v>0</v>
      </c>
      <c r="M30" s="344">
        <v>0</v>
      </c>
      <c r="N30" s="341">
        <v>0</v>
      </c>
      <c r="O30" s="343">
        <f t="shared" si="7"/>
        <v>0</v>
      </c>
      <c r="P30" s="344">
        <v>0</v>
      </c>
      <c r="Q30" s="341">
        <v>0</v>
      </c>
      <c r="R30" s="343">
        <f t="shared" si="51"/>
        <v>0</v>
      </c>
      <c r="S30" s="341">
        <v>0</v>
      </c>
      <c r="T30" s="341">
        <v>0</v>
      </c>
      <c r="U30" s="342">
        <f t="shared" si="8"/>
        <v>0</v>
      </c>
      <c r="V30" s="344">
        <v>0</v>
      </c>
      <c r="W30" s="341">
        <f>G66</f>
        <v>323890300</v>
      </c>
      <c r="X30" s="343">
        <f t="shared" si="9"/>
        <v>0</v>
      </c>
      <c r="Y30" s="344">
        <v>0</v>
      </c>
      <c r="Z30" s="341">
        <f>H66</f>
        <v>351352250</v>
      </c>
      <c r="AA30" s="342">
        <f>IFERROR(Z30/Y30,0%)</f>
        <v>0</v>
      </c>
      <c r="AB30" s="344">
        <v>0</v>
      </c>
      <c r="AC30" s="341">
        <f>I66</f>
        <v>572498450</v>
      </c>
      <c r="AD30" s="342">
        <f t="shared" si="10"/>
        <v>0</v>
      </c>
      <c r="AE30" s="341">
        <v>0</v>
      </c>
      <c r="AF30" s="341">
        <v>0</v>
      </c>
      <c r="AG30" s="342">
        <f t="shared" si="11"/>
        <v>0</v>
      </c>
      <c r="AH30" s="341">
        <v>0</v>
      </c>
      <c r="AI30" s="341">
        <f>AL42*10^6</f>
        <v>0</v>
      </c>
      <c r="AJ30" s="342">
        <f t="shared" si="12"/>
        <v>0</v>
      </c>
      <c r="AK30" s="344">
        <v>0</v>
      </c>
      <c r="AL30" s="341">
        <v>0</v>
      </c>
      <c r="AM30" s="342">
        <f t="shared" si="13"/>
        <v>0</v>
      </c>
      <c r="AN30" s="344">
        <v>0</v>
      </c>
      <c r="AO30" s="341">
        <v>0</v>
      </c>
      <c r="AP30" s="342">
        <f t="shared" si="14"/>
        <v>0</v>
      </c>
      <c r="AQ30" s="341">
        <f>M30+J30+G30</f>
        <v>0</v>
      </c>
      <c r="AR30" s="341">
        <f>N30+K30+H30</f>
        <v>0</v>
      </c>
      <c r="AS30" s="343">
        <f t="shared" si="15"/>
        <v>0</v>
      </c>
      <c r="AT30" s="341">
        <f t="shared" si="88"/>
        <v>0</v>
      </c>
      <c r="AU30" s="341">
        <f t="shared" si="89"/>
        <v>323890300</v>
      </c>
      <c r="AV30" s="343">
        <f t="shared" si="17"/>
        <v>0</v>
      </c>
      <c r="AW30" s="348">
        <f t="shared" si="18"/>
        <v>0</v>
      </c>
      <c r="AX30" s="349">
        <f t="shared" si="90"/>
        <v>923850700</v>
      </c>
      <c r="AY30" s="343">
        <f t="shared" si="20"/>
        <v>0</v>
      </c>
      <c r="AZ30" s="348">
        <f t="shared" si="21"/>
        <v>0</v>
      </c>
      <c r="BA30" s="349">
        <f t="shared" si="22"/>
        <v>0</v>
      </c>
      <c r="BB30" s="343">
        <f t="shared" si="23"/>
        <v>0</v>
      </c>
      <c r="BC30" s="348">
        <f t="shared" si="91"/>
        <v>0</v>
      </c>
      <c r="BD30" s="348">
        <f t="shared" si="92"/>
        <v>1247741000</v>
      </c>
      <c r="BE30" s="343">
        <f t="shared" si="25"/>
        <v>0</v>
      </c>
      <c r="BF30" s="244"/>
      <c r="BG30" s="39"/>
      <c r="BO30" s="497" t="s">
        <v>6</v>
      </c>
      <c r="BP30" s="497" t="s">
        <v>38</v>
      </c>
      <c r="BQ30" s="355" t="s">
        <v>39</v>
      </c>
      <c r="BR30" s="341">
        <f t="shared" ref="BR30:BR33" si="271">BU30+BX30+CA30+CD30+CG30+CJ30+CM30+CP30+CS30+CV30+CY30+DB30</f>
        <v>0</v>
      </c>
      <c r="BS30" s="341">
        <f>BV30+BY30+CB30+CE30+CH30+CK30+CN30+CQ30+CT30+CW30+CZ30+DC30</f>
        <v>0</v>
      </c>
      <c r="BT30" s="342">
        <f t="shared" si="106"/>
        <v>0</v>
      </c>
      <c r="BU30" s="341">
        <v>0</v>
      </c>
      <c r="BV30" s="341">
        <v>0</v>
      </c>
      <c r="BW30" s="343">
        <f t="shared" si="93"/>
        <v>0</v>
      </c>
      <c r="BX30" s="344">
        <v>0</v>
      </c>
      <c r="BY30" s="341"/>
      <c r="BZ30" s="343">
        <f t="shared" si="28"/>
        <v>0</v>
      </c>
      <c r="CA30" s="344">
        <v>0</v>
      </c>
      <c r="CB30" s="341"/>
      <c r="CC30" s="343">
        <f t="shared" si="29"/>
        <v>0</v>
      </c>
      <c r="CD30" s="344">
        <v>0</v>
      </c>
      <c r="CE30" s="341"/>
      <c r="CF30" s="343">
        <f t="shared" si="173"/>
        <v>0</v>
      </c>
      <c r="CG30" s="341">
        <v>0</v>
      </c>
      <c r="CH30" s="341"/>
      <c r="CI30" s="342">
        <f t="shared" si="119"/>
        <v>0</v>
      </c>
      <c r="CJ30" s="344">
        <v>0</v>
      </c>
      <c r="CK30" s="341"/>
      <c r="CL30" s="343">
        <f t="shared" si="31"/>
        <v>0</v>
      </c>
      <c r="CM30" s="344">
        <v>0</v>
      </c>
      <c r="CN30" s="341"/>
      <c r="CO30" s="342">
        <f>IFERROR(CN30/CM30,0%)</f>
        <v>0</v>
      </c>
      <c r="CP30" s="344">
        <v>0</v>
      </c>
      <c r="CQ30" s="341"/>
      <c r="CR30" s="342">
        <f t="shared" si="225"/>
        <v>0</v>
      </c>
      <c r="CS30" s="341">
        <v>0</v>
      </c>
      <c r="CT30" s="341"/>
      <c r="CU30" s="342">
        <f t="shared" si="33"/>
        <v>0</v>
      </c>
      <c r="CV30" s="341">
        <v>0</v>
      </c>
      <c r="CW30" s="341"/>
      <c r="CX30" s="342">
        <f t="shared" si="34"/>
        <v>0</v>
      </c>
      <c r="CY30" s="344">
        <v>0</v>
      </c>
      <c r="CZ30" s="341"/>
      <c r="DA30" s="342">
        <f t="shared" si="35"/>
        <v>0</v>
      </c>
      <c r="DB30" s="344">
        <v>0</v>
      </c>
      <c r="DC30" s="341"/>
      <c r="DD30" s="342">
        <f t="shared" si="36"/>
        <v>0</v>
      </c>
      <c r="DE30" s="341">
        <f>CA30+BX30+BU30</f>
        <v>0</v>
      </c>
      <c r="DF30" s="341">
        <f>CB30+BY30+BV30</f>
        <v>0</v>
      </c>
      <c r="DG30" s="343">
        <f t="shared" si="37"/>
        <v>0</v>
      </c>
      <c r="DH30" s="341">
        <f t="shared" si="174"/>
        <v>0</v>
      </c>
      <c r="DI30" s="341">
        <f t="shared" si="168"/>
        <v>0</v>
      </c>
      <c r="DJ30" s="343">
        <f t="shared" si="40"/>
        <v>0</v>
      </c>
      <c r="DK30" s="348">
        <f t="shared" si="226"/>
        <v>0</v>
      </c>
      <c r="DL30" s="349">
        <f t="shared" si="227"/>
        <v>0</v>
      </c>
      <c r="DM30" s="343">
        <f t="shared" si="43"/>
        <v>0</v>
      </c>
      <c r="DN30" s="348">
        <f t="shared" si="44"/>
        <v>0</v>
      </c>
      <c r="DO30" s="349">
        <f t="shared" si="45"/>
        <v>0</v>
      </c>
      <c r="DP30" s="343">
        <f t="shared" si="46"/>
        <v>0</v>
      </c>
      <c r="DQ30" s="348">
        <f t="shared" si="98"/>
        <v>0</v>
      </c>
      <c r="DR30" s="348">
        <f t="shared" si="48"/>
        <v>0</v>
      </c>
      <c r="DS30" s="343">
        <f t="shared" si="49"/>
        <v>0</v>
      </c>
      <c r="DT30" s="244"/>
    </row>
    <row r="31" spans="1:124" ht="15">
      <c r="A31" s="497"/>
      <c r="B31" s="498"/>
      <c r="C31" s="355" t="s">
        <v>40</v>
      </c>
      <c r="D31" s="341">
        <f t="shared" ref="D31:D33" si="272">G31+J31+M31+P31+S31+V31+Y31+AB31+AE31+AH31+AK31+AN31</f>
        <v>0</v>
      </c>
      <c r="E31" s="341">
        <f t="shared" ref="E31:E32" si="273">H31+K31+N31+Q31+T31+W31+Z31+AC31+AF31+AI31+AL31+AO31</f>
        <v>0</v>
      </c>
      <c r="F31" s="342">
        <f t="shared" si="4"/>
        <v>0</v>
      </c>
      <c r="G31" s="341">
        <v>0</v>
      </c>
      <c r="H31" s="341">
        <v>0</v>
      </c>
      <c r="I31" s="343">
        <f t="shared" si="5"/>
        <v>0</v>
      </c>
      <c r="J31" s="344">
        <v>0</v>
      </c>
      <c r="K31" s="341">
        <v>0</v>
      </c>
      <c r="L31" s="343">
        <f t="shared" si="6"/>
        <v>0</v>
      </c>
      <c r="M31" s="344">
        <v>0</v>
      </c>
      <c r="N31" s="341">
        <v>0</v>
      </c>
      <c r="O31" s="343">
        <f t="shared" si="7"/>
        <v>0</v>
      </c>
      <c r="P31" s="344">
        <v>0</v>
      </c>
      <c r="Q31" s="341">
        <v>0</v>
      </c>
      <c r="R31" s="343">
        <f t="shared" si="51"/>
        <v>0</v>
      </c>
      <c r="S31" s="341">
        <v>0</v>
      </c>
      <c r="T31" s="341">
        <v>0</v>
      </c>
      <c r="U31" s="342">
        <f t="shared" si="8"/>
        <v>0</v>
      </c>
      <c r="V31" s="344">
        <v>0</v>
      </c>
      <c r="W31" s="341">
        <v>0</v>
      </c>
      <c r="X31" s="343">
        <f t="shared" si="9"/>
        <v>0</v>
      </c>
      <c r="Y31" s="344">
        <v>0</v>
      </c>
      <c r="Z31" s="341">
        <v>0</v>
      </c>
      <c r="AA31" s="342">
        <f>IFERROR(Z31/Y31,0%)</f>
        <v>0</v>
      </c>
      <c r="AB31" s="344">
        <v>0</v>
      </c>
      <c r="AC31" s="341">
        <v>0</v>
      </c>
      <c r="AD31" s="342">
        <f t="shared" si="10"/>
        <v>0</v>
      </c>
      <c r="AE31" s="341">
        <v>0</v>
      </c>
      <c r="AF31" s="341">
        <v>0</v>
      </c>
      <c r="AG31" s="342">
        <f t="shared" si="11"/>
        <v>0</v>
      </c>
      <c r="AH31" s="341">
        <v>0</v>
      </c>
      <c r="AI31" s="341">
        <f>AL43*10^6</f>
        <v>0</v>
      </c>
      <c r="AJ31" s="342">
        <f t="shared" si="12"/>
        <v>0</v>
      </c>
      <c r="AK31" s="344">
        <v>0</v>
      </c>
      <c r="AL31" s="341">
        <v>0</v>
      </c>
      <c r="AM31" s="342">
        <f t="shared" si="13"/>
        <v>0</v>
      </c>
      <c r="AN31" s="344">
        <v>0</v>
      </c>
      <c r="AO31" s="341">
        <v>0</v>
      </c>
      <c r="AP31" s="342">
        <f t="shared" si="14"/>
        <v>0</v>
      </c>
      <c r="AQ31" s="341">
        <f>M31+J31+G31</f>
        <v>0</v>
      </c>
      <c r="AR31" s="341">
        <f>N31+K31+H31</f>
        <v>0</v>
      </c>
      <c r="AS31" s="343">
        <f t="shared" si="15"/>
        <v>0</v>
      </c>
      <c r="AT31" s="341">
        <f t="shared" si="88"/>
        <v>0</v>
      </c>
      <c r="AU31" s="341">
        <f t="shared" si="89"/>
        <v>0</v>
      </c>
      <c r="AV31" s="343">
        <f t="shared" si="17"/>
        <v>0</v>
      </c>
      <c r="AW31" s="348">
        <f t="shared" si="18"/>
        <v>0</v>
      </c>
      <c r="AX31" s="350">
        <f t="shared" si="90"/>
        <v>0</v>
      </c>
      <c r="AY31" s="343">
        <f t="shared" si="20"/>
        <v>0</v>
      </c>
      <c r="AZ31" s="348">
        <f t="shared" si="21"/>
        <v>0</v>
      </c>
      <c r="BA31" s="350">
        <f t="shared" si="22"/>
        <v>0</v>
      </c>
      <c r="BB31" s="343">
        <f t="shared" si="23"/>
        <v>0</v>
      </c>
      <c r="BC31" s="348">
        <f t="shared" si="91"/>
        <v>0</v>
      </c>
      <c r="BD31" s="348">
        <f t="shared" si="92"/>
        <v>0</v>
      </c>
      <c r="BE31" s="343">
        <f t="shared" si="25"/>
        <v>0</v>
      </c>
      <c r="BF31" s="244"/>
      <c r="BG31" s="39"/>
      <c r="BO31" s="497"/>
      <c r="BP31" s="498"/>
      <c r="BQ31" s="355" t="s">
        <v>40</v>
      </c>
      <c r="BR31" s="341">
        <f t="shared" si="271"/>
        <v>0</v>
      </c>
      <c r="BS31" s="341">
        <f t="shared" ref="BS31:BS32" si="274">BV31+BY31+CB31+CE31+CH31+CK31+CN31+CQ31+CT31+CW31+CZ31+DC31</f>
        <v>0</v>
      </c>
      <c r="BT31" s="342">
        <f t="shared" si="106"/>
        <v>0</v>
      </c>
      <c r="BU31" s="341">
        <v>0</v>
      </c>
      <c r="BV31" s="341">
        <v>0</v>
      </c>
      <c r="BW31" s="343">
        <f t="shared" si="93"/>
        <v>0</v>
      </c>
      <c r="BX31" s="344">
        <v>0</v>
      </c>
      <c r="BY31" s="341"/>
      <c r="BZ31" s="343">
        <f t="shared" si="28"/>
        <v>0</v>
      </c>
      <c r="CA31" s="344">
        <v>0</v>
      </c>
      <c r="CB31" s="341"/>
      <c r="CC31" s="343">
        <f t="shared" si="29"/>
        <v>0</v>
      </c>
      <c r="CD31" s="344">
        <v>0</v>
      </c>
      <c r="CE31" s="341"/>
      <c r="CF31" s="343">
        <f t="shared" si="173"/>
        <v>0</v>
      </c>
      <c r="CG31" s="341">
        <v>0</v>
      </c>
      <c r="CH31" s="341"/>
      <c r="CI31" s="342">
        <f t="shared" si="119"/>
        <v>0</v>
      </c>
      <c r="CJ31" s="344">
        <v>0</v>
      </c>
      <c r="CK31" s="341"/>
      <c r="CL31" s="343">
        <f t="shared" si="31"/>
        <v>0</v>
      </c>
      <c r="CM31" s="344">
        <v>0</v>
      </c>
      <c r="CN31" s="341"/>
      <c r="CO31" s="342">
        <f>IFERROR(CN31/CM31,0%)</f>
        <v>0</v>
      </c>
      <c r="CP31" s="344">
        <v>0</v>
      </c>
      <c r="CQ31" s="341"/>
      <c r="CR31" s="342">
        <f t="shared" si="225"/>
        <v>0</v>
      </c>
      <c r="CS31" s="341">
        <v>0</v>
      </c>
      <c r="CT31" s="341"/>
      <c r="CU31" s="342">
        <f t="shared" si="33"/>
        <v>0</v>
      </c>
      <c r="CV31" s="341">
        <v>0</v>
      </c>
      <c r="CW31" s="341"/>
      <c r="CX31" s="342">
        <f t="shared" si="34"/>
        <v>0</v>
      </c>
      <c r="CY31" s="344">
        <v>0</v>
      </c>
      <c r="CZ31" s="341"/>
      <c r="DA31" s="342">
        <f t="shared" si="35"/>
        <v>0</v>
      </c>
      <c r="DB31" s="344">
        <v>0</v>
      </c>
      <c r="DC31" s="341"/>
      <c r="DD31" s="342">
        <f t="shared" si="36"/>
        <v>0</v>
      </c>
      <c r="DE31" s="341">
        <f>CA31+BX31+BU31</f>
        <v>0</v>
      </c>
      <c r="DF31" s="341">
        <f>CB31+BY31+BV31</f>
        <v>0</v>
      </c>
      <c r="DG31" s="343">
        <f t="shared" si="37"/>
        <v>0</v>
      </c>
      <c r="DH31" s="341">
        <f t="shared" si="174"/>
        <v>0</v>
      </c>
      <c r="DI31" s="341">
        <f t="shared" si="168"/>
        <v>0</v>
      </c>
      <c r="DJ31" s="343">
        <f t="shared" si="40"/>
        <v>0</v>
      </c>
      <c r="DK31" s="348">
        <f t="shared" si="226"/>
        <v>0</v>
      </c>
      <c r="DL31" s="350">
        <f t="shared" si="227"/>
        <v>0</v>
      </c>
      <c r="DM31" s="343">
        <f t="shared" si="43"/>
        <v>0</v>
      </c>
      <c r="DN31" s="348">
        <f t="shared" si="44"/>
        <v>0</v>
      </c>
      <c r="DO31" s="350">
        <f t="shared" si="45"/>
        <v>0</v>
      </c>
      <c r="DP31" s="343">
        <f t="shared" si="46"/>
        <v>0</v>
      </c>
      <c r="DQ31" s="348">
        <f t="shared" si="98"/>
        <v>0</v>
      </c>
      <c r="DR31" s="348">
        <f t="shared" si="48"/>
        <v>0</v>
      </c>
      <c r="DS31" s="343">
        <f t="shared" si="49"/>
        <v>0</v>
      </c>
      <c r="DT31" s="244"/>
    </row>
    <row r="32" spans="1:124" ht="15">
      <c r="A32" s="497"/>
      <c r="B32" s="497" t="s">
        <v>41</v>
      </c>
      <c r="C32" s="355" t="s">
        <v>103</v>
      </c>
      <c r="D32" s="341">
        <f t="shared" si="272"/>
        <v>0</v>
      </c>
      <c r="E32" s="341">
        <f t="shared" si="273"/>
        <v>0</v>
      </c>
      <c r="F32" s="342">
        <f t="shared" si="4"/>
        <v>0</v>
      </c>
      <c r="G32" s="341">
        <v>0</v>
      </c>
      <c r="H32" s="341">
        <v>0</v>
      </c>
      <c r="I32" s="343">
        <f t="shared" si="5"/>
        <v>0</v>
      </c>
      <c r="J32" s="344">
        <v>0</v>
      </c>
      <c r="K32" s="341">
        <v>0</v>
      </c>
      <c r="L32" s="343">
        <f t="shared" si="6"/>
        <v>0</v>
      </c>
      <c r="M32" s="344">
        <v>0</v>
      </c>
      <c r="N32" s="341">
        <v>0</v>
      </c>
      <c r="O32" s="343">
        <f t="shared" si="7"/>
        <v>0</v>
      </c>
      <c r="P32" s="344">
        <v>0</v>
      </c>
      <c r="Q32" s="341">
        <v>0</v>
      </c>
      <c r="R32" s="343">
        <f t="shared" si="51"/>
        <v>0</v>
      </c>
      <c r="S32" s="341">
        <v>0</v>
      </c>
      <c r="T32" s="341">
        <v>0</v>
      </c>
      <c r="U32" s="342">
        <f t="shared" si="8"/>
        <v>0</v>
      </c>
      <c r="V32" s="344">
        <v>0</v>
      </c>
      <c r="W32" s="341">
        <v>0</v>
      </c>
      <c r="X32" s="343">
        <f t="shared" si="9"/>
        <v>0</v>
      </c>
      <c r="Y32" s="344">
        <v>0</v>
      </c>
      <c r="Z32" s="341">
        <v>0</v>
      </c>
      <c r="AA32" s="342">
        <f>IFERROR(Z32/Y32,0%)</f>
        <v>0</v>
      </c>
      <c r="AB32" s="344"/>
      <c r="AC32" s="341">
        <v>0</v>
      </c>
      <c r="AD32" s="342">
        <f t="shared" si="10"/>
        <v>0</v>
      </c>
      <c r="AE32" s="341">
        <v>0</v>
      </c>
      <c r="AF32" s="341">
        <v>0</v>
      </c>
      <c r="AG32" s="342">
        <f t="shared" si="11"/>
        <v>0</v>
      </c>
      <c r="AH32" s="341">
        <v>0</v>
      </c>
      <c r="AI32" s="341">
        <f>AL45*10^6</f>
        <v>0</v>
      </c>
      <c r="AJ32" s="342">
        <f t="shared" si="12"/>
        <v>0</v>
      </c>
      <c r="AK32" s="344">
        <v>0</v>
      </c>
      <c r="AL32" s="341">
        <v>0</v>
      </c>
      <c r="AM32" s="342">
        <f t="shared" si="13"/>
        <v>0</v>
      </c>
      <c r="AN32" s="344">
        <v>0</v>
      </c>
      <c r="AO32" s="341">
        <v>0</v>
      </c>
      <c r="AP32" s="342">
        <f t="shared" si="14"/>
        <v>0</v>
      </c>
      <c r="AQ32" s="341">
        <f>M32+J32+G32</f>
        <v>0</v>
      </c>
      <c r="AR32" s="341">
        <f>N32+K32+H32</f>
        <v>0</v>
      </c>
      <c r="AS32" s="343">
        <f t="shared" si="15"/>
        <v>0</v>
      </c>
      <c r="AT32" s="341">
        <f t="shared" si="88"/>
        <v>0</v>
      </c>
      <c r="AU32" s="341">
        <f t="shared" si="89"/>
        <v>0</v>
      </c>
      <c r="AV32" s="343">
        <f t="shared" si="17"/>
        <v>0</v>
      </c>
      <c r="AW32" s="351">
        <f t="shared" si="18"/>
        <v>0</v>
      </c>
      <c r="AX32" s="352">
        <f t="shared" si="90"/>
        <v>0</v>
      </c>
      <c r="AY32" s="343">
        <f t="shared" si="20"/>
        <v>0</v>
      </c>
      <c r="AZ32" s="351">
        <f t="shared" si="21"/>
        <v>0</v>
      </c>
      <c r="BA32" s="352">
        <f t="shared" si="22"/>
        <v>0</v>
      </c>
      <c r="BB32" s="343">
        <f t="shared" si="23"/>
        <v>0</v>
      </c>
      <c r="BC32" s="351">
        <f t="shared" si="91"/>
        <v>0</v>
      </c>
      <c r="BD32" s="351">
        <f t="shared" si="92"/>
        <v>0</v>
      </c>
      <c r="BE32" s="343">
        <f t="shared" si="25"/>
        <v>0</v>
      </c>
      <c r="BF32" s="244"/>
      <c r="BG32" s="39"/>
      <c r="BO32" s="497"/>
      <c r="BP32" s="497" t="s">
        <v>41</v>
      </c>
      <c r="BQ32" s="355" t="s">
        <v>103</v>
      </c>
      <c r="BR32" s="341">
        <f t="shared" si="271"/>
        <v>0</v>
      </c>
      <c r="BS32" s="341">
        <f t="shared" si="274"/>
        <v>0</v>
      </c>
      <c r="BT32" s="342">
        <f t="shared" si="106"/>
        <v>0</v>
      </c>
      <c r="BU32" s="341">
        <v>0</v>
      </c>
      <c r="BV32" s="341">
        <v>0</v>
      </c>
      <c r="BW32" s="343">
        <f t="shared" si="93"/>
        <v>0</v>
      </c>
      <c r="BX32" s="344">
        <v>0</v>
      </c>
      <c r="BY32" s="341"/>
      <c r="BZ32" s="343">
        <f t="shared" si="28"/>
        <v>0</v>
      </c>
      <c r="CA32" s="344">
        <v>0</v>
      </c>
      <c r="CB32" s="341"/>
      <c r="CC32" s="343">
        <f t="shared" si="29"/>
        <v>0</v>
      </c>
      <c r="CD32" s="344">
        <v>0</v>
      </c>
      <c r="CE32" s="341"/>
      <c r="CF32" s="343">
        <f t="shared" si="173"/>
        <v>0</v>
      </c>
      <c r="CG32" s="341">
        <v>0</v>
      </c>
      <c r="CH32" s="341"/>
      <c r="CI32" s="342">
        <f t="shared" si="119"/>
        <v>0</v>
      </c>
      <c r="CJ32" s="344">
        <v>0</v>
      </c>
      <c r="CK32" s="341"/>
      <c r="CL32" s="343">
        <f t="shared" si="31"/>
        <v>0</v>
      </c>
      <c r="CM32" s="344">
        <v>0</v>
      </c>
      <c r="CN32" s="341"/>
      <c r="CO32" s="342">
        <f>IFERROR(CN32/CM32,0%)</f>
        <v>0</v>
      </c>
      <c r="CP32" s="344"/>
      <c r="CQ32" s="341"/>
      <c r="CR32" s="342">
        <f t="shared" si="225"/>
        <v>0</v>
      </c>
      <c r="CS32" s="341">
        <v>0</v>
      </c>
      <c r="CT32" s="341"/>
      <c r="CU32" s="342">
        <f t="shared" si="33"/>
        <v>0</v>
      </c>
      <c r="CV32" s="341">
        <v>0</v>
      </c>
      <c r="CW32" s="341"/>
      <c r="CX32" s="342">
        <f t="shared" si="34"/>
        <v>0</v>
      </c>
      <c r="CY32" s="344">
        <v>0</v>
      </c>
      <c r="CZ32" s="341"/>
      <c r="DA32" s="342">
        <f t="shared" si="35"/>
        <v>0</v>
      </c>
      <c r="DB32" s="344">
        <v>0</v>
      </c>
      <c r="DC32" s="341"/>
      <c r="DD32" s="342">
        <f t="shared" si="36"/>
        <v>0</v>
      </c>
      <c r="DE32" s="341">
        <f>CA32+BX32+BU32</f>
        <v>0</v>
      </c>
      <c r="DF32" s="341">
        <f>CB32+BY32+BV32</f>
        <v>0</v>
      </c>
      <c r="DG32" s="343">
        <f t="shared" si="37"/>
        <v>0</v>
      </c>
      <c r="DH32" s="341">
        <f t="shared" si="174"/>
        <v>0</v>
      </c>
      <c r="DI32" s="341">
        <f t="shared" si="168"/>
        <v>0</v>
      </c>
      <c r="DJ32" s="343">
        <f t="shared" si="40"/>
        <v>0</v>
      </c>
      <c r="DK32" s="351">
        <f t="shared" si="226"/>
        <v>0</v>
      </c>
      <c r="DL32" s="352">
        <f t="shared" si="227"/>
        <v>0</v>
      </c>
      <c r="DM32" s="343">
        <f t="shared" si="43"/>
        <v>0</v>
      </c>
      <c r="DN32" s="351">
        <f t="shared" si="44"/>
        <v>0</v>
      </c>
      <c r="DO32" s="352">
        <f t="shared" si="45"/>
        <v>0</v>
      </c>
      <c r="DP32" s="343">
        <f t="shared" si="46"/>
        <v>0</v>
      </c>
      <c r="DQ32" s="351">
        <f t="shared" si="98"/>
        <v>0</v>
      </c>
      <c r="DR32" s="351">
        <f t="shared" si="48"/>
        <v>0</v>
      </c>
      <c r="DS32" s="343">
        <f t="shared" si="49"/>
        <v>0</v>
      </c>
      <c r="DT32" s="244"/>
    </row>
    <row r="33" spans="1:124" ht="15">
      <c r="A33" s="498"/>
      <c r="B33" s="498"/>
      <c r="C33" s="355" t="s">
        <v>104</v>
      </c>
      <c r="D33" s="341">
        <f t="shared" si="272"/>
        <v>19200000000</v>
      </c>
      <c r="E33" s="341">
        <f>H33+K33+N33+Q33+T33+W33+Z33+AC33+AF33+AI33+AL33+AO33</f>
        <v>24857316137</v>
      </c>
      <c r="F33" s="342">
        <f t="shared" si="4"/>
        <v>1.2946518821354167</v>
      </c>
      <c r="G33" s="341">
        <v>1100000000</v>
      </c>
      <c r="H33" s="341">
        <f>B57</f>
        <v>1428800000</v>
      </c>
      <c r="I33" s="343">
        <f t="shared" si="5"/>
        <v>1.298909090909091</v>
      </c>
      <c r="J33" s="344">
        <v>1100000000</v>
      </c>
      <c r="K33" s="341">
        <f>C57</f>
        <v>2384212000</v>
      </c>
      <c r="L33" s="343">
        <f t="shared" si="6"/>
        <v>2.1674654545454546</v>
      </c>
      <c r="M33" s="344">
        <v>1400000000</v>
      </c>
      <c r="N33" s="341">
        <f>D57</f>
        <v>2773630000</v>
      </c>
      <c r="O33" s="343">
        <f t="shared" si="7"/>
        <v>1.9811642857142857</v>
      </c>
      <c r="P33" s="344">
        <v>1600000000</v>
      </c>
      <c r="Q33" s="341">
        <f>E57</f>
        <v>2019820000</v>
      </c>
      <c r="R33" s="343">
        <f t="shared" si="51"/>
        <v>1.2623875</v>
      </c>
      <c r="S33" s="341">
        <v>1600000000</v>
      </c>
      <c r="T33" s="341">
        <f>F57</f>
        <v>2227237729</v>
      </c>
      <c r="U33" s="342">
        <f t="shared" si="8"/>
        <v>1.3920235806250001</v>
      </c>
      <c r="V33" s="344">
        <v>1700000000</v>
      </c>
      <c r="W33" s="341">
        <f>G57</f>
        <v>2193475500</v>
      </c>
      <c r="X33" s="343">
        <f t="shared" si="9"/>
        <v>1.290279705882353</v>
      </c>
      <c r="Y33" s="344">
        <v>1800000000</v>
      </c>
      <c r="Z33" s="341">
        <f>H57</f>
        <v>2454473014</v>
      </c>
      <c r="AA33" s="342">
        <f>IFERROR(Z33/Y33,0%)</f>
        <v>1.363596118888889</v>
      </c>
      <c r="AB33" s="344">
        <v>1800000000</v>
      </c>
      <c r="AC33" s="341">
        <f>I57</f>
        <v>2538123534</v>
      </c>
      <c r="AD33" s="342">
        <f t="shared" si="10"/>
        <v>1.41006863</v>
      </c>
      <c r="AE33" s="341">
        <v>1800000000</v>
      </c>
      <c r="AF33" s="341">
        <f>J57</f>
        <v>2050851617</v>
      </c>
      <c r="AG33" s="342">
        <f t="shared" si="11"/>
        <v>1.1393620094444445</v>
      </c>
      <c r="AH33" s="341">
        <v>1800000000</v>
      </c>
      <c r="AI33" s="341">
        <f>K57</f>
        <v>1931492262</v>
      </c>
      <c r="AJ33" s="342">
        <f t="shared" si="12"/>
        <v>1.0730512566666666</v>
      </c>
      <c r="AK33" s="344">
        <v>1800000000</v>
      </c>
      <c r="AL33" s="341">
        <f>L57</f>
        <v>1334107012</v>
      </c>
      <c r="AM33" s="342">
        <f t="shared" si="13"/>
        <v>0.74117056222222222</v>
      </c>
      <c r="AN33" s="344">
        <v>1700000000</v>
      </c>
      <c r="AO33" s="341">
        <f>M57</f>
        <v>1521093469</v>
      </c>
      <c r="AP33" s="342">
        <f t="shared" si="14"/>
        <v>0.8947608641176471</v>
      </c>
      <c r="AQ33" s="341">
        <f>M33+J33+G33</f>
        <v>3600000000</v>
      </c>
      <c r="AR33" s="341">
        <f>N33+K33+H33</f>
        <v>6586642000</v>
      </c>
      <c r="AS33" s="343">
        <f t="shared" si="15"/>
        <v>1.8296227777777778</v>
      </c>
      <c r="AT33" s="341">
        <f t="shared" si="88"/>
        <v>4900000000</v>
      </c>
      <c r="AU33" s="341">
        <f t="shared" si="89"/>
        <v>6440533229</v>
      </c>
      <c r="AV33" s="343">
        <f t="shared" si="17"/>
        <v>1.3143945365306122</v>
      </c>
      <c r="AW33" s="341">
        <f t="shared" si="18"/>
        <v>5400000000</v>
      </c>
      <c r="AX33" s="353">
        <f t="shared" si="90"/>
        <v>7043448165</v>
      </c>
      <c r="AY33" s="343">
        <f t="shared" si="20"/>
        <v>1.3043422527777777</v>
      </c>
      <c r="AZ33" s="341">
        <f t="shared" si="21"/>
        <v>5300000000</v>
      </c>
      <c r="BA33" s="353">
        <f t="shared" si="22"/>
        <v>4786692743</v>
      </c>
      <c r="BB33" s="343">
        <f t="shared" si="23"/>
        <v>0.90314957415094343</v>
      </c>
      <c r="BC33" s="341">
        <f t="shared" si="91"/>
        <v>15700000000</v>
      </c>
      <c r="BD33" s="341">
        <f t="shared" si="92"/>
        <v>23336222668</v>
      </c>
      <c r="BE33" s="343">
        <f t="shared" si="25"/>
        <v>1.4863836094267515</v>
      </c>
      <c r="BF33" s="244">
        <f t="shared" si="53"/>
        <v>1.3369710903541667</v>
      </c>
      <c r="BG33" s="39"/>
      <c r="BO33" s="498"/>
      <c r="BP33" s="498"/>
      <c r="BQ33" s="355" t="s">
        <v>104</v>
      </c>
      <c r="BR33" s="341">
        <f t="shared" si="271"/>
        <v>20239000000</v>
      </c>
      <c r="BS33" s="341">
        <f>BV33+BY33+CB33+CE33+CH33+CK33+CN33+CQ33+CT33+CW33+CZ33+DC33</f>
        <v>885070000</v>
      </c>
      <c r="BT33" s="342">
        <f t="shared" si="106"/>
        <v>4.3730915559069126E-2</v>
      </c>
      <c r="BU33" s="341">
        <v>2139000000</v>
      </c>
      <c r="BV33" s="341">
        <f>BY47*10^6</f>
        <v>885070000</v>
      </c>
      <c r="BW33" s="343">
        <f t="shared" si="93"/>
        <v>0.41377746610565685</v>
      </c>
      <c r="BX33" s="344">
        <v>1100000000</v>
      </c>
      <c r="BY33" s="341"/>
      <c r="BZ33" s="343">
        <f t="shared" si="28"/>
        <v>0</v>
      </c>
      <c r="CA33" s="344">
        <v>1400000000</v>
      </c>
      <c r="CB33" s="341"/>
      <c r="CC33" s="343">
        <f t="shared" si="29"/>
        <v>0</v>
      </c>
      <c r="CD33" s="344">
        <v>1600000000</v>
      </c>
      <c r="CE33" s="341"/>
      <c r="CF33" s="343">
        <f t="shared" si="173"/>
        <v>0</v>
      </c>
      <c r="CG33" s="341">
        <v>1600000000</v>
      </c>
      <c r="CH33" s="341"/>
      <c r="CI33" s="342">
        <f t="shared" si="119"/>
        <v>0</v>
      </c>
      <c r="CJ33" s="344">
        <v>1700000000</v>
      </c>
      <c r="CK33" s="341"/>
      <c r="CL33" s="343">
        <f t="shared" si="31"/>
        <v>0</v>
      </c>
      <c r="CM33" s="344">
        <v>1800000000</v>
      </c>
      <c r="CN33" s="341"/>
      <c r="CO33" s="342">
        <f>IFERROR(CN33/CM33,0%)</f>
        <v>0</v>
      </c>
      <c r="CP33" s="344">
        <v>1800000000</v>
      </c>
      <c r="CQ33" s="341"/>
      <c r="CR33" s="342">
        <f t="shared" si="225"/>
        <v>0</v>
      </c>
      <c r="CS33" s="341">
        <v>1800000000</v>
      </c>
      <c r="CT33" s="341"/>
      <c r="CU33" s="342">
        <f t="shared" si="33"/>
        <v>0</v>
      </c>
      <c r="CV33" s="341">
        <v>1800000000</v>
      </c>
      <c r="CW33" s="341"/>
      <c r="CX33" s="342">
        <f t="shared" si="34"/>
        <v>0</v>
      </c>
      <c r="CY33" s="344">
        <v>1800000000</v>
      </c>
      <c r="CZ33" s="341"/>
      <c r="DA33" s="342">
        <f t="shared" si="35"/>
        <v>0</v>
      </c>
      <c r="DB33" s="344">
        <v>1700000000</v>
      </c>
      <c r="DC33" s="341"/>
      <c r="DD33" s="342">
        <f t="shared" si="36"/>
        <v>0</v>
      </c>
      <c r="DE33" s="341">
        <f>CA33+BX33+BU33</f>
        <v>4639000000</v>
      </c>
      <c r="DF33" s="341">
        <f>CB33+BY33+BV33</f>
        <v>885070000</v>
      </c>
      <c r="DG33" s="343">
        <f t="shared" si="37"/>
        <v>0.19078896313860746</v>
      </c>
      <c r="DH33" s="341">
        <f t="shared" si="174"/>
        <v>4900000000</v>
      </c>
      <c r="DI33" s="341">
        <f t="shared" si="168"/>
        <v>0</v>
      </c>
      <c r="DJ33" s="343">
        <f t="shared" si="40"/>
        <v>0</v>
      </c>
      <c r="DK33" s="341">
        <f t="shared" si="226"/>
        <v>5400000000</v>
      </c>
      <c r="DL33" s="353">
        <f t="shared" si="227"/>
        <v>0</v>
      </c>
      <c r="DM33" s="343">
        <f t="shared" si="43"/>
        <v>0</v>
      </c>
      <c r="DN33" s="341">
        <f t="shared" si="44"/>
        <v>5300000000</v>
      </c>
      <c r="DO33" s="353">
        <f t="shared" si="45"/>
        <v>0</v>
      </c>
      <c r="DP33" s="343">
        <f t="shared" si="46"/>
        <v>0</v>
      </c>
      <c r="DQ33" s="341">
        <f t="shared" si="98"/>
        <v>16739000000</v>
      </c>
      <c r="DR33" s="341">
        <f t="shared" si="48"/>
        <v>885070000</v>
      </c>
      <c r="DS33" s="343">
        <f t="shared" si="49"/>
        <v>5.2874723699145705E-2</v>
      </c>
      <c r="DT33" s="244">
        <f t="shared" ref="DT33:DT39" si="275">(DR33/11*1.1+DR33)/BR33</f>
        <v>4.810400711497604E-2</v>
      </c>
    </row>
    <row r="34" spans="1:124" ht="15">
      <c r="A34" s="525" t="s">
        <v>105</v>
      </c>
      <c r="B34" s="526"/>
      <c r="C34" s="526"/>
      <c r="D34" s="338">
        <f>SUM(D30:D33)</f>
        <v>19200000000</v>
      </c>
      <c r="E34" s="338">
        <f>SUM(E30:E33)</f>
        <v>26105057137</v>
      </c>
      <c r="F34" s="339">
        <f t="shared" ref="F34" si="276">IFERROR(E34/D34,0%)</f>
        <v>1.3596383925520834</v>
      </c>
      <c r="G34" s="338">
        <f t="shared" ref="G34" si="277">SUM(G30:G33)</f>
        <v>1100000000</v>
      </c>
      <c r="H34" s="338">
        <f t="shared" ref="H34" si="278">SUM(H30:H33)</f>
        <v>1428800000</v>
      </c>
      <c r="I34" s="340">
        <f t="shared" si="5"/>
        <v>1.298909090909091</v>
      </c>
      <c r="J34" s="338">
        <f t="shared" ref="J34" si="279">SUM(J30:J33)</f>
        <v>1100000000</v>
      </c>
      <c r="K34" s="338">
        <f t="shared" ref="K34" si="280">SUM(K30:K33)</f>
        <v>2384212000</v>
      </c>
      <c r="L34" s="340">
        <f t="shared" si="6"/>
        <v>2.1674654545454546</v>
      </c>
      <c r="M34" s="338">
        <f t="shared" ref="M34" si="281">SUM(M30:M33)</f>
        <v>1400000000</v>
      </c>
      <c r="N34" s="338">
        <f t="shared" ref="N34" si="282">SUM(N30:N33)</f>
        <v>2773630000</v>
      </c>
      <c r="O34" s="340">
        <f t="shared" si="7"/>
        <v>1.9811642857142857</v>
      </c>
      <c r="P34" s="338">
        <v>1600000000</v>
      </c>
      <c r="Q34" s="338">
        <v>1863400000.0000002</v>
      </c>
      <c r="R34" s="340">
        <f t="shared" ref="R34" si="283">IFERROR(Q34/P34,0%)</f>
        <v>1.1646250000000002</v>
      </c>
      <c r="S34" s="338">
        <f t="shared" ref="S34" si="284">SUM(S30:S33)</f>
        <v>1600000000</v>
      </c>
      <c r="T34" s="338">
        <f t="shared" ref="T34" si="285">SUM(T30:T33)</f>
        <v>2227237729</v>
      </c>
      <c r="U34" s="339">
        <f t="shared" ref="U34" si="286">IFERROR(T34/S34,0%)</f>
        <v>1.3920235806250001</v>
      </c>
      <c r="V34" s="338">
        <f t="shared" ref="V34" si="287">SUM(V30:V33)</f>
        <v>1700000000</v>
      </c>
      <c r="W34" s="338">
        <v>1823000000</v>
      </c>
      <c r="X34" s="340">
        <f t="shared" ref="X34" si="288">IFERROR(W34/V34,0%)</f>
        <v>1.0723529411764705</v>
      </c>
      <c r="Y34" s="338">
        <f t="shared" ref="Y34" si="289">SUM(Y30:Y33)</f>
        <v>1800000000</v>
      </c>
      <c r="Z34" s="338">
        <v>2010940000</v>
      </c>
      <c r="AA34" s="339">
        <f>IFERROR(Z34/Y34,0%)</f>
        <v>1.1171888888888888</v>
      </c>
      <c r="AB34" s="338">
        <f t="shared" ref="AB34" si="290">SUM(AB30:AB33)</f>
        <v>1800000000</v>
      </c>
      <c r="AC34" s="338">
        <v>2740760000</v>
      </c>
      <c r="AD34" s="339">
        <f t="shared" ref="AD34" si="291">IFERROR(AC34/AB34,0%)</f>
        <v>1.5226444444444445</v>
      </c>
      <c r="AE34" s="338">
        <f t="shared" ref="AE34" si="292">SUM(AE30:AE33)</f>
        <v>1800000000</v>
      </c>
      <c r="AF34" s="338">
        <f t="shared" ref="AF34" si="293">SUM(AF30:AF33)</f>
        <v>2050851617</v>
      </c>
      <c r="AG34" s="339">
        <f t="shared" ref="AG34" si="294">IFERROR(AF34/AE34,0%)</f>
        <v>1.1393620094444445</v>
      </c>
      <c r="AH34" s="338">
        <f t="shared" ref="AH34" si="295">SUM(AH30:AH33)</f>
        <v>1800000000</v>
      </c>
      <c r="AI34" s="338">
        <f t="shared" ref="AI34" si="296">SUM(AI30:AI33)</f>
        <v>1931492262</v>
      </c>
      <c r="AJ34" s="339">
        <f t="shared" ref="AJ34" si="297">IFERROR(AI34/AH34,0%)</f>
        <v>1.0730512566666666</v>
      </c>
      <c r="AK34" s="338">
        <f t="shared" ref="AK34" si="298">SUM(AK30:AK33)</f>
        <v>1800000000</v>
      </c>
      <c r="AL34" s="338">
        <f t="shared" ref="AL34" si="299">SUM(AL30:AL33)</f>
        <v>1334107012</v>
      </c>
      <c r="AM34" s="339">
        <f t="shared" ref="AM34" si="300">IFERROR(AL34/AK34,0%)</f>
        <v>0.74117056222222222</v>
      </c>
      <c r="AN34" s="338">
        <f t="shared" ref="AN34" si="301">SUM(AN30:AN33)</f>
        <v>1700000000</v>
      </c>
      <c r="AO34" s="338">
        <f t="shared" ref="AO34" si="302">SUM(AO30:AO33)</f>
        <v>1521093469</v>
      </c>
      <c r="AP34" s="339">
        <f t="shared" ref="AP34" si="303">IFERROR(AO34/AN34,0%)</f>
        <v>0.8947608641176471</v>
      </c>
      <c r="AQ34" s="338">
        <f t="shared" ref="AQ34" si="304">SUM(AQ30:AQ33)</f>
        <v>3600000000</v>
      </c>
      <c r="AR34" s="338">
        <f t="shared" ref="AR34" si="305">SUM(AR30:AR33)</f>
        <v>6586642000</v>
      </c>
      <c r="AS34" s="340">
        <f t="shared" si="15"/>
        <v>1.8296227777777778</v>
      </c>
      <c r="AT34" s="338">
        <f t="shared" si="88"/>
        <v>4900000000</v>
      </c>
      <c r="AU34" s="338">
        <f t="shared" si="89"/>
        <v>5913637729</v>
      </c>
      <c r="AV34" s="340">
        <f t="shared" si="17"/>
        <v>1.2068648426530613</v>
      </c>
      <c r="AW34" s="338">
        <f t="shared" si="18"/>
        <v>5400000000</v>
      </c>
      <c r="AX34" s="338">
        <f t="shared" si="90"/>
        <v>6802551617</v>
      </c>
      <c r="AY34" s="340">
        <f t="shared" si="20"/>
        <v>1.2597317809259259</v>
      </c>
      <c r="AZ34" s="338">
        <f t="shared" si="21"/>
        <v>5300000000</v>
      </c>
      <c r="BA34" s="338">
        <f t="shared" si="22"/>
        <v>4786692743</v>
      </c>
      <c r="BB34" s="340">
        <f t="shared" si="23"/>
        <v>0.90314957415094343</v>
      </c>
      <c r="BC34" s="338">
        <f t="shared" si="91"/>
        <v>15700000000</v>
      </c>
      <c r="BD34" s="338">
        <f t="shared" si="92"/>
        <v>22568430620</v>
      </c>
      <c r="BE34" s="340">
        <f t="shared" si="25"/>
        <v>1.4374796573248407</v>
      </c>
      <c r="BF34" s="244">
        <f t="shared" si="53"/>
        <v>1.2929830042708332</v>
      </c>
      <c r="BG34" s="39"/>
      <c r="BO34" s="525" t="s">
        <v>105</v>
      </c>
      <c r="BP34" s="526"/>
      <c r="BQ34" s="526"/>
      <c r="BR34" s="338">
        <f>SUM(BR30:BR33)</f>
        <v>20239000000</v>
      </c>
      <c r="BS34" s="338">
        <f>SUM(BS30:BS33)</f>
        <v>885070000</v>
      </c>
      <c r="BT34" s="339">
        <f t="shared" si="106"/>
        <v>4.3730915559069126E-2</v>
      </c>
      <c r="BU34" s="338">
        <f t="shared" ref="BU34:BV34" si="306">SUM(BU30:BU33)</f>
        <v>2139000000</v>
      </c>
      <c r="BV34" s="338">
        <f t="shared" si="306"/>
        <v>885070000</v>
      </c>
      <c r="BW34" s="340">
        <f t="shared" si="93"/>
        <v>0.41377746610565685</v>
      </c>
      <c r="BX34" s="338">
        <f t="shared" ref="BX34:BY34" si="307">SUM(BX30:BX33)</f>
        <v>1100000000</v>
      </c>
      <c r="BY34" s="338"/>
      <c r="BZ34" s="340">
        <f t="shared" si="28"/>
        <v>0</v>
      </c>
      <c r="CA34" s="338">
        <f t="shared" ref="CA34:CB34" si="308">SUM(CA30:CA33)</f>
        <v>1400000000</v>
      </c>
      <c r="CB34" s="338"/>
      <c r="CC34" s="340">
        <f t="shared" si="29"/>
        <v>0</v>
      </c>
      <c r="CD34" s="338">
        <v>1600000000</v>
      </c>
      <c r="CE34" s="338"/>
      <c r="CF34" s="340">
        <f t="shared" si="173"/>
        <v>0</v>
      </c>
      <c r="CG34" s="338">
        <f t="shared" ref="CG34:CH34" si="309">SUM(CG30:CG33)</f>
        <v>1600000000</v>
      </c>
      <c r="CH34" s="338"/>
      <c r="CI34" s="339">
        <f t="shared" si="119"/>
        <v>0</v>
      </c>
      <c r="CJ34" s="338">
        <f t="shared" ref="CJ34" si="310">SUM(CJ30:CJ33)</f>
        <v>1700000000</v>
      </c>
      <c r="CK34" s="338"/>
      <c r="CL34" s="340">
        <f t="shared" si="31"/>
        <v>0</v>
      </c>
      <c r="CM34" s="338">
        <f t="shared" ref="CM34" si="311">SUM(CM30:CM33)</f>
        <v>1800000000</v>
      </c>
      <c r="CN34" s="338"/>
      <c r="CO34" s="339">
        <f>IFERROR(CN34/CM34,0%)</f>
        <v>0</v>
      </c>
      <c r="CP34" s="338">
        <f t="shared" ref="CP34" si="312">SUM(CP30:CP33)</f>
        <v>1800000000</v>
      </c>
      <c r="CQ34" s="338"/>
      <c r="CR34" s="339">
        <f t="shared" si="225"/>
        <v>0</v>
      </c>
      <c r="CS34" s="338">
        <f t="shared" ref="CS34:CT34" si="313">SUM(CS30:CS33)</f>
        <v>1800000000</v>
      </c>
      <c r="CT34" s="338"/>
      <c r="CU34" s="339">
        <f t="shared" si="33"/>
        <v>0</v>
      </c>
      <c r="CV34" s="338">
        <f t="shared" ref="CV34:CW34" si="314">SUM(CV30:CV33)</f>
        <v>1800000000</v>
      </c>
      <c r="CW34" s="338"/>
      <c r="CX34" s="339">
        <f t="shared" si="34"/>
        <v>0</v>
      </c>
      <c r="CY34" s="338">
        <f t="shared" ref="CY34:CZ34" si="315">SUM(CY30:CY33)</f>
        <v>1800000000</v>
      </c>
      <c r="CZ34" s="338"/>
      <c r="DA34" s="339">
        <f t="shared" si="35"/>
        <v>0</v>
      </c>
      <c r="DB34" s="338">
        <f t="shared" ref="DB34:DC34" si="316">SUM(DB30:DB33)</f>
        <v>1700000000</v>
      </c>
      <c r="DC34" s="338"/>
      <c r="DD34" s="339">
        <f t="shared" si="36"/>
        <v>0</v>
      </c>
      <c r="DE34" s="338">
        <f t="shared" ref="DE34:DF34" si="317">SUM(DE30:DE33)</f>
        <v>4639000000</v>
      </c>
      <c r="DF34" s="338">
        <f t="shared" si="317"/>
        <v>885070000</v>
      </c>
      <c r="DG34" s="340">
        <f t="shared" si="37"/>
        <v>0.19078896313860746</v>
      </c>
      <c r="DH34" s="338">
        <f t="shared" si="174"/>
        <v>4900000000</v>
      </c>
      <c r="DI34" s="338">
        <f t="shared" si="168"/>
        <v>0</v>
      </c>
      <c r="DJ34" s="340">
        <f t="shared" si="40"/>
        <v>0</v>
      </c>
      <c r="DK34" s="338">
        <f t="shared" si="226"/>
        <v>5400000000</v>
      </c>
      <c r="DL34" s="338">
        <f t="shared" si="227"/>
        <v>0</v>
      </c>
      <c r="DM34" s="340">
        <f t="shared" si="43"/>
        <v>0</v>
      </c>
      <c r="DN34" s="338">
        <f t="shared" si="44"/>
        <v>5300000000</v>
      </c>
      <c r="DO34" s="338">
        <f t="shared" si="45"/>
        <v>0</v>
      </c>
      <c r="DP34" s="340">
        <f t="shared" si="46"/>
        <v>0</v>
      </c>
      <c r="DQ34" s="338">
        <f t="shared" si="98"/>
        <v>16739000000</v>
      </c>
      <c r="DR34" s="338">
        <f t="shared" si="48"/>
        <v>885070000</v>
      </c>
      <c r="DS34" s="340">
        <f t="shared" si="49"/>
        <v>5.2874723699145705E-2</v>
      </c>
      <c r="DT34" s="244">
        <f t="shared" si="275"/>
        <v>4.810400711497604E-2</v>
      </c>
    </row>
    <row r="35" spans="1:124" ht="15">
      <c r="A35" s="497" t="s">
        <v>10</v>
      </c>
      <c r="B35" s="497" t="s">
        <v>38</v>
      </c>
      <c r="C35" s="355" t="s">
        <v>39</v>
      </c>
      <c r="D35" s="341">
        <f t="shared" ref="D35" si="318">G35+J35+M35+P35+S35+V35+Y35+AB35+AE35+AH35+AK35+AN35</f>
        <v>0</v>
      </c>
      <c r="E35" s="341">
        <f>H35+K35+N35+Q35+T35+W35+Z35+AC35+AF35+AI35+AL35+AO35</f>
        <v>0</v>
      </c>
      <c r="F35" s="342">
        <f t="shared" si="4"/>
        <v>0</v>
      </c>
      <c r="G35" s="344">
        <v>0</v>
      </c>
      <c r="H35" s="344">
        <v>0</v>
      </c>
      <c r="I35" s="343">
        <f t="shared" si="5"/>
        <v>0</v>
      </c>
      <c r="J35" s="344">
        <v>0</v>
      </c>
      <c r="K35" s="344">
        <v>0</v>
      </c>
      <c r="L35" s="343">
        <f t="shared" si="6"/>
        <v>0</v>
      </c>
      <c r="M35" s="344">
        <v>0</v>
      </c>
      <c r="N35" s="344">
        <v>0</v>
      </c>
      <c r="O35" s="343">
        <f t="shared" si="7"/>
        <v>0</v>
      </c>
      <c r="P35" s="344">
        <v>0</v>
      </c>
      <c r="Q35" s="344">
        <v>0</v>
      </c>
      <c r="R35" s="343">
        <f t="shared" si="51"/>
        <v>0</v>
      </c>
      <c r="S35" s="341">
        <v>0</v>
      </c>
      <c r="T35" s="344">
        <v>0</v>
      </c>
      <c r="U35" s="342">
        <f t="shared" si="8"/>
        <v>0</v>
      </c>
      <c r="V35" s="344">
        <v>0</v>
      </c>
      <c r="W35" s="344">
        <v>0</v>
      </c>
      <c r="X35" s="343">
        <f t="shared" si="9"/>
        <v>0</v>
      </c>
      <c r="Y35" s="344">
        <v>0</v>
      </c>
      <c r="Z35" s="344">
        <v>0</v>
      </c>
      <c r="AA35" s="342">
        <f>IFERROR(Z35/Y35,0%)</f>
        <v>0</v>
      </c>
      <c r="AB35" s="344">
        <v>0</v>
      </c>
      <c r="AC35" s="344"/>
      <c r="AD35" s="342">
        <f t="shared" si="10"/>
        <v>0</v>
      </c>
      <c r="AE35" s="344">
        <v>0</v>
      </c>
      <c r="AF35" s="344">
        <v>0</v>
      </c>
      <c r="AG35" s="342">
        <f t="shared" si="11"/>
        <v>0</v>
      </c>
      <c r="AH35" s="344">
        <v>0</v>
      </c>
      <c r="AI35" s="344">
        <v>0</v>
      </c>
      <c r="AJ35" s="342">
        <f t="shared" si="12"/>
        <v>0</v>
      </c>
      <c r="AK35" s="344">
        <v>0</v>
      </c>
      <c r="AL35" s="341">
        <f>AP42*10^6</f>
        <v>0</v>
      </c>
      <c r="AM35" s="342">
        <f t="shared" si="13"/>
        <v>0</v>
      </c>
      <c r="AN35" s="344">
        <v>0</v>
      </c>
      <c r="AO35" s="341">
        <v>0</v>
      </c>
      <c r="AP35" s="342">
        <f t="shared" si="14"/>
        <v>0</v>
      </c>
      <c r="AQ35" s="341">
        <f>M35+J35+G35</f>
        <v>0</v>
      </c>
      <c r="AR35" s="341">
        <f>N35+K35+H35</f>
        <v>0</v>
      </c>
      <c r="AS35" s="343">
        <f t="shared" si="15"/>
        <v>0</v>
      </c>
      <c r="AT35" s="341">
        <f t="shared" si="88"/>
        <v>0</v>
      </c>
      <c r="AU35" s="341">
        <f t="shared" si="89"/>
        <v>0</v>
      </c>
      <c r="AV35" s="343">
        <f t="shared" si="17"/>
        <v>0</v>
      </c>
      <c r="AW35" s="348">
        <f t="shared" si="18"/>
        <v>0</v>
      </c>
      <c r="AX35" s="349">
        <f t="shared" si="90"/>
        <v>0</v>
      </c>
      <c r="AY35" s="343">
        <f t="shared" si="20"/>
        <v>0</v>
      </c>
      <c r="AZ35" s="348">
        <f t="shared" si="21"/>
        <v>0</v>
      </c>
      <c r="BA35" s="349">
        <f t="shared" si="22"/>
        <v>0</v>
      </c>
      <c r="BB35" s="343">
        <f t="shared" si="23"/>
        <v>0</v>
      </c>
      <c r="BC35" s="348">
        <f t="shared" si="91"/>
        <v>0</v>
      </c>
      <c r="BD35" s="348">
        <f t="shared" si="92"/>
        <v>0</v>
      </c>
      <c r="BE35" s="343">
        <f t="shared" si="25"/>
        <v>0</v>
      </c>
      <c r="BF35" s="244"/>
      <c r="BG35" s="39"/>
      <c r="BO35" s="497" t="s">
        <v>10</v>
      </c>
      <c r="BP35" s="497" t="s">
        <v>38</v>
      </c>
      <c r="BQ35" s="355" t="s">
        <v>39</v>
      </c>
      <c r="BR35" s="341"/>
      <c r="BS35" s="341"/>
      <c r="BT35" s="342"/>
      <c r="BU35" s="344"/>
      <c r="BV35" s="344"/>
      <c r="BW35" s="343"/>
      <c r="BX35" s="344"/>
      <c r="BY35" s="344"/>
      <c r="BZ35" s="343"/>
      <c r="CA35" s="344"/>
      <c r="CB35" s="344"/>
      <c r="CC35" s="343"/>
      <c r="CD35" s="344"/>
      <c r="CE35" s="344"/>
      <c r="CF35" s="343"/>
      <c r="CG35" s="341"/>
      <c r="CH35" s="344"/>
      <c r="CI35" s="342"/>
      <c r="CJ35" s="344"/>
      <c r="CK35" s="344"/>
      <c r="CL35" s="343"/>
      <c r="CM35" s="344"/>
      <c r="CN35" s="344"/>
      <c r="CO35" s="342"/>
      <c r="CP35" s="344"/>
      <c r="CQ35" s="344"/>
      <c r="CR35" s="342"/>
      <c r="CS35" s="344"/>
      <c r="CT35" s="344"/>
      <c r="CU35" s="342"/>
      <c r="CV35" s="344"/>
      <c r="CW35" s="344"/>
      <c r="CX35" s="342"/>
      <c r="CY35" s="344"/>
      <c r="CZ35" s="341"/>
      <c r="DA35" s="342"/>
      <c r="DB35" s="344"/>
      <c r="DC35" s="341"/>
      <c r="DD35" s="342"/>
      <c r="DE35" s="341"/>
      <c r="DF35" s="341"/>
      <c r="DG35" s="343"/>
      <c r="DH35" s="341"/>
      <c r="DI35" s="341"/>
      <c r="DJ35" s="343"/>
      <c r="DK35" s="348"/>
      <c r="DL35" s="349"/>
      <c r="DM35" s="343"/>
      <c r="DN35" s="348"/>
      <c r="DO35" s="349"/>
      <c r="DP35" s="343"/>
      <c r="DQ35" s="348"/>
      <c r="DR35" s="348"/>
      <c r="DS35" s="343"/>
      <c r="DT35" s="244"/>
    </row>
    <row r="36" spans="1:124" ht="15">
      <c r="A36" s="497"/>
      <c r="B36" s="498"/>
      <c r="C36" s="355" t="s">
        <v>40</v>
      </c>
      <c r="D36" s="341">
        <f>G36+J36+M36+P36+S36+V36+Y36+AB36+AE36+AH36+AK36+AN36</f>
        <v>16150000000</v>
      </c>
      <c r="E36" s="341">
        <f t="shared" ref="E36:E38" si="319">H36+K36+N36+Q36+T36+W36+Z36+AC36+AF36+AI36+AL36+AO36</f>
        <v>10246100000</v>
      </c>
      <c r="F36" s="342">
        <f t="shared" si="4"/>
        <v>0.63443343653250772</v>
      </c>
      <c r="G36" s="344">
        <v>100000000</v>
      </c>
      <c r="H36" s="344">
        <f>B47</f>
        <v>589250000</v>
      </c>
      <c r="I36" s="343">
        <f t="shared" si="5"/>
        <v>5.8925000000000001</v>
      </c>
      <c r="J36" s="344">
        <v>100000000</v>
      </c>
      <c r="K36" s="344">
        <f>C47</f>
        <v>1040000000</v>
      </c>
      <c r="L36" s="343">
        <f t="shared" si="6"/>
        <v>10.4</v>
      </c>
      <c r="M36" s="344">
        <v>500000000</v>
      </c>
      <c r="N36" s="344">
        <f>D47</f>
        <v>1020000000</v>
      </c>
      <c r="O36" s="343">
        <f t="shared" si="7"/>
        <v>2.04</v>
      </c>
      <c r="P36" s="344">
        <v>540000000</v>
      </c>
      <c r="Q36" s="344">
        <f>E47</f>
        <v>934630000</v>
      </c>
      <c r="R36" s="343">
        <f t="shared" si="51"/>
        <v>1.7307962962962964</v>
      </c>
      <c r="S36" s="341">
        <v>800000000</v>
      </c>
      <c r="T36" s="344">
        <f>F47</f>
        <v>719590000</v>
      </c>
      <c r="U36" s="342">
        <f t="shared" si="8"/>
        <v>0.8994875</v>
      </c>
      <c r="V36" s="344">
        <v>1060000000</v>
      </c>
      <c r="W36" s="344">
        <f>G47</f>
        <v>1190000000</v>
      </c>
      <c r="X36" s="343">
        <f t="shared" si="9"/>
        <v>1.1226415094339623</v>
      </c>
      <c r="Y36" s="344">
        <v>1900000000</v>
      </c>
      <c r="Z36" s="344">
        <f>H47</f>
        <v>990210000</v>
      </c>
      <c r="AA36" s="342">
        <f>IFERROR(Z36/Y36,0%)</f>
        <v>0.52116315789473688</v>
      </c>
      <c r="AB36" s="344">
        <v>2350000000</v>
      </c>
      <c r="AC36" s="344">
        <f>I47</f>
        <v>920780000</v>
      </c>
      <c r="AD36" s="342">
        <f t="shared" si="10"/>
        <v>0.39182127659574467</v>
      </c>
      <c r="AE36" s="344">
        <v>1700000000</v>
      </c>
      <c r="AF36" s="344">
        <f>J47</f>
        <v>506240000</v>
      </c>
      <c r="AG36" s="342">
        <f t="shared" si="11"/>
        <v>0.29778823529411763</v>
      </c>
      <c r="AH36" s="344">
        <v>1900000000</v>
      </c>
      <c r="AI36" s="344">
        <f>K47</f>
        <v>918550000</v>
      </c>
      <c r="AJ36" s="342">
        <f t="shared" si="12"/>
        <v>0.48344736842105263</v>
      </c>
      <c r="AK36" s="344">
        <v>2600000000</v>
      </c>
      <c r="AL36" s="341">
        <f>L47</f>
        <v>735850000</v>
      </c>
      <c r="AM36" s="342">
        <f t="shared" si="13"/>
        <v>0.28301923076923075</v>
      </c>
      <c r="AN36" s="344">
        <v>2600000000</v>
      </c>
      <c r="AO36" s="341">
        <f>M47</f>
        <v>681000000</v>
      </c>
      <c r="AP36" s="342">
        <f t="shared" si="14"/>
        <v>0.26192307692307693</v>
      </c>
      <c r="AQ36" s="341">
        <f>M36+J36+G36</f>
        <v>700000000</v>
      </c>
      <c r="AR36" s="341">
        <f>N36+K36+H36</f>
        <v>2649250000</v>
      </c>
      <c r="AS36" s="343">
        <f t="shared" si="15"/>
        <v>3.784642857142857</v>
      </c>
      <c r="AT36" s="341">
        <f t="shared" si="88"/>
        <v>2400000000</v>
      </c>
      <c r="AU36" s="341">
        <f t="shared" si="89"/>
        <v>2844220000</v>
      </c>
      <c r="AV36" s="343">
        <f t="shared" si="17"/>
        <v>1.1850916666666667</v>
      </c>
      <c r="AW36" s="341">
        <f t="shared" si="18"/>
        <v>5950000000</v>
      </c>
      <c r="AX36" s="353">
        <f t="shared" si="90"/>
        <v>2417230000</v>
      </c>
      <c r="AY36" s="343">
        <f t="shared" si="20"/>
        <v>0.40625714285714287</v>
      </c>
      <c r="AZ36" s="341">
        <f t="shared" si="21"/>
        <v>7100000000</v>
      </c>
      <c r="BA36" s="353">
        <f t="shared" si="22"/>
        <v>2335400000</v>
      </c>
      <c r="BB36" s="343">
        <f t="shared" si="23"/>
        <v>0.32892957746478874</v>
      </c>
      <c r="BC36" s="341">
        <f t="shared" si="91"/>
        <v>10950000000</v>
      </c>
      <c r="BD36" s="341">
        <f t="shared" si="92"/>
        <v>9565100000</v>
      </c>
      <c r="BE36" s="343">
        <f t="shared" si="25"/>
        <v>0.87352511415525114</v>
      </c>
      <c r="BF36" s="244">
        <f t="shared" si="53"/>
        <v>0.65149287925696597</v>
      </c>
      <c r="BG36" s="39"/>
      <c r="BO36" s="497"/>
      <c r="BP36" s="498"/>
      <c r="BQ36" s="355" t="s">
        <v>40</v>
      </c>
      <c r="BR36" s="341"/>
      <c r="BS36" s="341"/>
      <c r="BT36" s="342"/>
      <c r="BU36" s="344"/>
      <c r="BV36" s="344"/>
      <c r="BW36" s="343"/>
      <c r="BX36" s="344"/>
      <c r="BY36" s="344"/>
      <c r="BZ36" s="343"/>
      <c r="CA36" s="344"/>
      <c r="CB36" s="344"/>
      <c r="CC36" s="343"/>
      <c r="CD36" s="344"/>
      <c r="CE36" s="344"/>
      <c r="CF36" s="343"/>
      <c r="CG36" s="341"/>
      <c r="CH36" s="344"/>
      <c r="CI36" s="342"/>
      <c r="CJ36" s="344"/>
      <c r="CK36" s="344"/>
      <c r="CL36" s="343"/>
      <c r="CM36" s="344"/>
      <c r="CN36" s="344"/>
      <c r="CO36" s="342"/>
      <c r="CP36" s="344"/>
      <c r="CQ36" s="344"/>
      <c r="CR36" s="342"/>
      <c r="CS36" s="344"/>
      <c r="CT36" s="344"/>
      <c r="CU36" s="342"/>
      <c r="CV36" s="344"/>
      <c r="CW36" s="344"/>
      <c r="CX36" s="342"/>
      <c r="CY36" s="344"/>
      <c r="CZ36" s="341"/>
      <c r="DA36" s="342"/>
      <c r="DB36" s="344"/>
      <c r="DC36" s="341"/>
      <c r="DD36" s="342"/>
      <c r="DE36" s="341"/>
      <c r="DF36" s="341"/>
      <c r="DG36" s="343"/>
      <c r="DH36" s="341"/>
      <c r="DI36" s="341"/>
      <c r="DJ36" s="343"/>
      <c r="DK36" s="341"/>
      <c r="DL36" s="353"/>
      <c r="DM36" s="343"/>
      <c r="DN36" s="341"/>
      <c r="DO36" s="353"/>
      <c r="DP36" s="343"/>
      <c r="DQ36" s="341"/>
      <c r="DR36" s="341"/>
      <c r="DS36" s="343"/>
      <c r="DT36" s="244"/>
    </row>
    <row r="37" spans="1:124" ht="15">
      <c r="A37" s="497"/>
      <c r="B37" s="497" t="s">
        <v>41</v>
      </c>
      <c r="C37" s="355" t="s">
        <v>103</v>
      </c>
      <c r="D37" s="341">
        <f>G37+J37+M37+P37+S37+V37+Y37+AB37+AE37+AH37+AK37+AN37</f>
        <v>0</v>
      </c>
      <c r="E37" s="341">
        <f t="shared" si="319"/>
        <v>0</v>
      </c>
      <c r="F37" s="342">
        <f t="shared" si="4"/>
        <v>0</v>
      </c>
      <c r="G37" s="344">
        <v>0</v>
      </c>
      <c r="H37" s="344">
        <v>0</v>
      </c>
      <c r="I37" s="343">
        <f t="shared" si="5"/>
        <v>0</v>
      </c>
      <c r="J37" s="344">
        <v>0</v>
      </c>
      <c r="K37" s="344">
        <v>0</v>
      </c>
      <c r="L37" s="343">
        <f t="shared" si="6"/>
        <v>0</v>
      </c>
      <c r="M37" s="344">
        <v>0</v>
      </c>
      <c r="N37" s="344">
        <v>0</v>
      </c>
      <c r="O37" s="343">
        <f t="shared" si="7"/>
        <v>0</v>
      </c>
      <c r="P37" s="344">
        <v>0</v>
      </c>
      <c r="Q37" s="344">
        <v>0</v>
      </c>
      <c r="R37" s="343">
        <f t="shared" si="51"/>
        <v>0</v>
      </c>
      <c r="S37" s="341">
        <v>0</v>
      </c>
      <c r="T37" s="344">
        <v>0</v>
      </c>
      <c r="U37" s="342">
        <f t="shared" si="8"/>
        <v>0</v>
      </c>
      <c r="V37" s="344">
        <v>0</v>
      </c>
      <c r="W37" s="344">
        <v>0</v>
      </c>
      <c r="X37" s="343">
        <f t="shared" si="9"/>
        <v>0</v>
      </c>
      <c r="Y37" s="344">
        <v>0</v>
      </c>
      <c r="Z37" s="344">
        <v>0</v>
      </c>
      <c r="AA37" s="342">
        <f>IFERROR(Z37/Y37,0%)</f>
        <v>0</v>
      </c>
      <c r="AB37" s="344">
        <v>0</v>
      </c>
      <c r="AC37" s="344"/>
      <c r="AD37" s="342">
        <f t="shared" si="10"/>
        <v>0</v>
      </c>
      <c r="AE37" s="344">
        <v>0</v>
      </c>
      <c r="AF37" s="344">
        <v>0</v>
      </c>
      <c r="AG37" s="342">
        <f t="shared" si="11"/>
        <v>0</v>
      </c>
      <c r="AH37" s="344">
        <v>0</v>
      </c>
      <c r="AI37" s="344">
        <v>0</v>
      </c>
      <c r="AJ37" s="342">
        <f t="shared" si="12"/>
        <v>0</v>
      </c>
      <c r="AK37" s="344">
        <v>0</v>
      </c>
      <c r="AL37" s="341">
        <f>AP45*10^6</f>
        <v>0</v>
      </c>
      <c r="AM37" s="342">
        <f t="shared" si="13"/>
        <v>0</v>
      </c>
      <c r="AN37" s="344">
        <v>0</v>
      </c>
      <c r="AO37" s="341">
        <v>0</v>
      </c>
      <c r="AP37" s="342">
        <f t="shared" si="14"/>
        <v>0</v>
      </c>
      <c r="AQ37" s="341">
        <f>M37+J37+G37</f>
        <v>0</v>
      </c>
      <c r="AR37" s="341">
        <f>N37+K37+H37</f>
        <v>0</v>
      </c>
      <c r="AS37" s="343">
        <f t="shared" si="15"/>
        <v>0</v>
      </c>
      <c r="AT37" s="341">
        <f t="shared" si="88"/>
        <v>0</v>
      </c>
      <c r="AU37" s="341">
        <f t="shared" si="89"/>
        <v>0</v>
      </c>
      <c r="AV37" s="343">
        <f t="shared" si="17"/>
        <v>0</v>
      </c>
      <c r="AW37" s="351">
        <f t="shared" si="18"/>
        <v>0</v>
      </c>
      <c r="AX37" s="352">
        <f t="shared" si="90"/>
        <v>0</v>
      </c>
      <c r="AY37" s="343">
        <f t="shared" si="20"/>
        <v>0</v>
      </c>
      <c r="AZ37" s="351">
        <f t="shared" si="21"/>
        <v>0</v>
      </c>
      <c r="BA37" s="352">
        <f t="shared" si="22"/>
        <v>0</v>
      </c>
      <c r="BB37" s="343">
        <f t="shared" si="23"/>
        <v>0</v>
      </c>
      <c r="BC37" s="351">
        <f t="shared" si="91"/>
        <v>0</v>
      </c>
      <c r="BD37" s="351">
        <f t="shared" si="92"/>
        <v>0</v>
      </c>
      <c r="BE37" s="343">
        <f t="shared" si="25"/>
        <v>0</v>
      </c>
      <c r="BF37" s="244"/>
      <c r="BG37" s="39"/>
      <c r="BO37" s="497"/>
      <c r="BP37" s="497" t="s">
        <v>41</v>
      </c>
      <c r="BQ37" s="355" t="s">
        <v>103</v>
      </c>
      <c r="BR37" s="341"/>
      <c r="BS37" s="341"/>
      <c r="BT37" s="342"/>
      <c r="BU37" s="344"/>
      <c r="BV37" s="344"/>
      <c r="BW37" s="343"/>
      <c r="BX37" s="344"/>
      <c r="BY37" s="344"/>
      <c r="BZ37" s="343"/>
      <c r="CA37" s="344"/>
      <c r="CB37" s="344"/>
      <c r="CC37" s="343"/>
      <c r="CD37" s="344"/>
      <c r="CE37" s="344"/>
      <c r="CF37" s="343"/>
      <c r="CG37" s="341"/>
      <c r="CH37" s="344"/>
      <c r="CI37" s="342"/>
      <c r="CJ37" s="344"/>
      <c r="CK37" s="344"/>
      <c r="CL37" s="343"/>
      <c r="CM37" s="344"/>
      <c r="CN37" s="344"/>
      <c r="CO37" s="342"/>
      <c r="CP37" s="344"/>
      <c r="CQ37" s="344"/>
      <c r="CR37" s="342"/>
      <c r="CS37" s="344"/>
      <c r="CT37" s="344"/>
      <c r="CU37" s="342"/>
      <c r="CV37" s="344"/>
      <c r="CW37" s="344"/>
      <c r="CX37" s="342"/>
      <c r="CY37" s="344"/>
      <c r="CZ37" s="341"/>
      <c r="DA37" s="342"/>
      <c r="DB37" s="344"/>
      <c r="DC37" s="341"/>
      <c r="DD37" s="342"/>
      <c r="DE37" s="341"/>
      <c r="DF37" s="341"/>
      <c r="DG37" s="343"/>
      <c r="DH37" s="341"/>
      <c r="DI37" s="341"/>
      <c r="DJ37" s="343"/>
      <c r="DK37" s="351"/>
      <c r="DL37" s="352"/>
      <c r="DM37" s="343"/>
      <c r="DN37" s="351"/>
      <c r="DO37" s="352"/>
      <c r="DP37" s="343"/>
      <c r="DQ37" s="351"/>
      <c r="DR37" s="351"/>
      <c r="DS37" s="343"/>
      <c r="DT37" s="244"/>
    </row>
    <row r="38" spans="1:124" ht="15">
      <c r="A38" s="498"/>
      <c r="B38" s="498"/>
      <c r="C38" s="355" t="s">
        <v>104</v>
      </c>
      <c r="D38" s="341">
        <f>G38+J38+M38+P38+S38+V38+Y38+AB38+AE38+AH38+AK38+AN38</f>
        <v>13450000000</v>
      </c>
      <c r="E38" s="341">
        <f t="shared" si="319"/>
        <v>4333900000</v>
      </c>
      <c r="F38" s="342">
        <f t="shared" si="4"/>
        <v>0.32222304832713755</v>
      </c>
      <c r="G38" s="344">
        <v>0</v>
      </c>
      <c r="H38" s="344">
        <v>0</v>
      </c>
      <c r="I38" s="343">
        <f t="shared" si="5"/>
        <v>0</v>
      </c>
      <c r="J38" s="344">
        <v>0</v>
      </c>
      <c r="K38" s="344">
        <v>0</v>
      </c>
      <c r="L38" s="343">
        <f t="shared" si="6"/>
        <v>0</v>
      </c>
      <c r="M38" s="344">
        <v>500000000</v>
      </c>
      <c r="N38" s="344">
        <v>0</v>
      </c>
      <c r="O38" s="343">
        <f t="shared" si="7"/>
        <v>0</v>
      </c>
      <c r="P38" s="344">
        <v>1450000000</v>
      </c>
      <c r="Q38" s="344">
        <f>E56</f>
        <v>373700000</v>
      </c>
      <c r="R38" s="343">
        <f t="shared" si="51"/>
        <v>0.25772413793103449</v>
      </c>
      <c r="S38" s="341">
        <v>1000000000</v>
      </c>
      <c r="T38" s="344">
        <f>F56</f>
        <v>557200000</v>
      </c>
      <c r="U38" s="342">
        <f t="shared" si="8"/>
        <v>0.55720000000000003</v>
      </c>
      <c r="V38" s="344">
        <v>1200000000</v>
      </c>
      <c r="W38" s="344">
        <f>G56</f>
        <v>642300000</v>
      </c>
      <c r="X38" s="343">
        <f t="shared" si="9"/>
        <v>0.53525</v>
      </c>
      <c r="Y38" s="344">
        <v>1500000000</v>
      </c>
      <c r="Z38" s="344">
        <f>H56</f>
        <v>868200000</v>
      </c>
      <c r="AA38" s="342">
        <f>IFERROR(Z38/Y38,0%)</f>
        <v>0.57879999999999998</v>
      </c>
      <c r="AB38" s="344">
        <v>1500000000</v>
      </c>
      <c r="AC38" s="344">
        <f>I56</f>
        <v>649500000</v>
      </c>
      <c r="AD38" s="342">
        <f t="shared" si="10"/>
        <v>0.433</v>
      </c>
      <c r="AE38" s="344">
        <v>1800000000</v>
      </c>
      <c r="AF38" s="344">
        <f>J56</f>
        <v>347700000</v>
      </c>
      <c r="AG38" s="342">
        <f t="shared" si="11"/>
        <v>0.19316666666666665</v>
      </c>
      <c r="AH38" s="344">
        <v>1500000000</v>
      </c>
      <c r="AI38" s="344">
        <f>K56</f>
        <v>196600000</v>
      </c>
      <c r="AJ38" s="342">
        <f t="shared" si="12"/>
        <v>0.13106666666666666</v>
      </c>
      <c r="AK38" s="344">
        <v>1500000000</v>
      </c>
      <c r="AL38" s="341">
        <f>L56</f>
        <v>397700000</v>
      </c>
      <c r="AM38" s="342">
        <f t="shared" si="13"/>
        <v>0.26513333333333333</v>
      </c>
      <c r="AN38" s="344">
        <v>1500000000</v>
      </c>
      <c r="AO38" s="341">
        <f>M56</f>
        <v>301000000</v>
      </c>
      <c r="AP38" s="342">
        <f t="shared" si="14"/>
        <v>0.20066666666666666</v>
      </c>
      <c r="AQ38" s="341">
        <f>M38+J38+G38</f>
        <v>500000000</v>
      </c>
      <c r="AR38" s="341">
        <f>N38+K38+H38</f>
        <v>0</v>
      </c>
      <c r="AS38" s="343">
        <f t="shared" si="15"/>
        <v>0</v>
      </c>
      <c r="AT38" s="341">
        <f t="shared" si="88"/>
        <v>3650000000</v>
      </c>
      <c r="AU38" s="341">
        <f t="shared" si="89"/>
        <v>1573200000</v>
      </c>
      <c r="AV38" s="343">
        <f t="shared" si="17"/>
        <v>0.431013698630137</v>
      </c>
      <c r="AW38" s="341">
        <f t="shared" si="18"/>
        <v>4800000000</v>
      </c>
      <c r="AX38" s="350">
        <f t="shared" si="90"/>
        <v>1865400000</v>
      </c>
      <c r="AY38" s="343">
        <f t="shared" si="20"/>
        <v>0.388625</v>
      </c>
      <c r="AZ38" s="341">
        <f t="shared" si="21"/>
        <v>4500000000</v>
      </c>
      <c r="BA38" s="350">
        <f t="shared" si="22"/>
        <v>895300000</v>
      </c>
      <c r="BB38" s="343">
        <f t="shared" si="23"/>
        <v>0.19895555555555555</v>
      </c>
      <c r="BC38" s="341">
        <f t="shared" si="91"/>
        <v>10450000000</v>
      </c>
      <c r="BD38" s="341">
        <f t="shared" si="92"/>
        <v>4032900000</v>
      </c>
      <c r="BE38" s="343">
        <f t="shared" si="25"/>
        <v>0.38592344497607656</v>
      </c>
      <c r="BF38" s="244">
        <f t="shared" si="53"/>
        <v>0.32982825278810407</v>
      </c>
      <c r="BG38" s="39"/>
      <c r="BO38" s="498"/>
      <c r="BP38" s="498"/>
      <c r="BQ38" s="355" t="s">
        <v>104</v>
      </c>
      <c r="BR38" s="341"/>
      <c r="BS38" s="341"/>
      <c r="BT38" s="342"/>
      <c r="BU38" s="344"/>
      <c r="BV38" s="344"/>
      <c r="BW38" s="343"/>
      <c r="BX38" s="344"/>
      <c r="BY38" s="344"/>
      <c r="BZ38" s="343"/>
      <c r="CA38" s="344"/>
      <c r="CB38" s="344"/>
      <c r="CC38" s="343"/>
      <c r="CD38" s="344"/>
      <c r="CE38" s="344"/>
      <c r="CF38" s="343"/>
      <c r="CG38" s="341"/>
      <c r="CH38" s="344"/>
      <c r="CI38" s="342"/>
      <c r="CJ38" s="344"/>
      <c r="CK38" s="344"/>
      <c r="CL38" s="343"/>
      <c r="CM38" s="344"/>
      <c r="CN38" s="344"/>
      <c r="CO38" s="342"/>
      <c r="CP38" s="344"/>
      <c r="CQ38" s="344"/>
      <c r="CR38" s="342"/>
      <c r="CS38" s="344"/>
      <c r="CT38" s="344"/>
      <c r="CU38" s="342"/>
      <c r="CV38" s="344"/>
      <c r="CW38" s="344"/>
      <c r="CX38" s="342"/>
      <c r="CY38" s="344"/>
      <c r="CZ38" s="341"/>
      <c r="DA38" s="342"/>
      <c r="DB38" s="344"/>
      <c r="DC38" s="341"/>
      <c r="DD38" s="342"/>
      <c r="DE38" s="341"/>
      <c r="DF38" s="341"/>
      <c r="DG38" s="343"/>
      <c r="DH38" s="341"/>
      <c r="DI38" s="341"/>
      <c r="DJ38" s="343"/>
      <c r="DK38" s="341"/>
      <c r="DL38" s="350"/>
      <c r="DM38" s="343"/>
      <c r="DN38" s="341"/>
      <c r="DO38" s="350"/>
      <c r="DP38" s="343"/>
      <c r="DQ38" s="341"/>
      <c r="DR38" s="341"/>
      <c r="DS38" s="343"/>
      <c r="DT38" s="244"/>
    </row>
    <row r="39" spans="1:124" ht="15">
      <c r="A39" s="525" t="s">
        <v>105</v>
      </c>
      <c r="B39" s="526"/>
      <c r="C39" s="526"/>
      <c r="D39" s="338">
        <f>SUM(D35:D38)</f>
        <v>29600000000</v>
      </c>
      <c r="E39" s="338">
        <f>SUM(E35:E38)</f>
        <v>14580000000</v>
      </c>
      <c r="F39" s="339">
        <f t="shared" ref="F39" si="320">IFERROR(E39/D39,0%)</f>
        <v>0.49256756756756759</v>
      </c>
      <c r="G39" s="338">
        <f t="shared" ref="G39" si="321">SUM(G35:G38)</f>
        <v>100000000</v>
      </c>
      <c r="H39" s="338">
        <f t="shared" ref="H39" si="322">SUM(H35:H38)</f>
        <v>589250000</v>
      </c>
      <c r="I39" s="340">
        <f t="shared" si="5"/>
        <v>5.8925000000000001</v>
      </c>
      <c r="J39" s="338">
        <f t="shared" ref="J39" si="323">SUM(J35:J38)</f>
        <v>100000000</v>
      </c>
      <c r="K39" s="338">
        <f t="shared" ref="K39" si="324">SUM(K35:K38)</f>
        <v>1040000000</v>
      </c>
      <c r="L39" s="340">
        <f t="shared" si="6"/>
        <v>10.4</v>
      </c>
      <c r="M39" s="338">
        <f t="shared" ref="M39" si="325">SUM(M35:M38)</f>
        <v>1000000000</v>
      </c>
      <c r="N39" s="338">
        <f t="shared" ref="N39" si="326">SUM(N35:N38)</f>
        <v>1020000000</v>
      </c>
      <c r="O39" s="340">
        <f t="shared" si="7"/>
        <v>1.02</v>
      </c>
      <c r="P39" s="338">
        <v>1990000000</v>
      </c>
      <c r="Q39" s="338">
        <v>0</v>
      </c>
      <c r="R39" s="340">
        <f t="shared" ref="R39" si="327">IFERROR(Q39/P39,0%)</f>
        <v>0</v>
      </c>
      <c r="S39" s="338">
        <f t="shared" ref="S39" si="328">SUM(S35:S38)</f>
        <v>1800000000</v>
      </c>
      <c r="T39" s="338">
        <f t="shared" ref="T39" si="329">SUM(T35:T38)</f>
        <v>1276790000</v>
      </c>
      <c r="U39" s="339">
        <f t="shared" ref="U39" si="330">IFERROR(T39/S39,0%)</f>
        <v>0.70932777777777778</v>
      </c>
      <c r="V39" s="338">
        <f t="shared" ref="V39" si="331">SUM(V35:V38)</f>
        <v>2260000000</v>
      </c>
      <c r="W39" s="338">
        <v>1589000000</v>
      </c>
      <c r="X39" s="340">
        <f t="shared" ref="X39" si="332">IFERROR(W39/V39,0%)</f>
        <v>0.70309734513274336</v>
      </c>
      <c r="Y39" s="338">
        <f t="shared" ref="Y39" si="333">SUM(Y35:Y38)</f>
        <v>3400000000</v>
      </c>
      <c r="Z39" s="338">
        <v>1099000000</v>
      </c>
      <c r="AA39" s="339">
        <f>IFERROR(Z39/Y39,0%)</f>
        <v>0.32323529411764707</v>
      </c>
      <c r="AB39" s="338">
        <f t="shared" ref="AB39" si="334">SUM(AB35:AB38)</f>
        <v>3850000000</v>
      </c>
      <c r="AC39" s="338">
        <v>1490000000</v>
      </c>
      <c r="AD39" s="339">
        <f t="shared" ref="AD39" si="335">IFERROR(AC39/AB39,0%)</f>
        <v>0.38701298701298703</v>
      </c>
      <c r="AE39" s="338">
        <f t="shared" ref="AE39" si="336">SUM(AE35:AE38)</f>
        <v>3500000000</v>
      </c>
      <c r="AF39" s="338">
        <f t="shared" ref="AF39" si="337">SUM(AF35:AF38)</f>
        <v>853940000</v>
      </c>
      <c r="AG39" s="339">
        <f t="shared" ref="AG39" si="338">IFERROR(AF39/AE39,0%)</f>
        <v>0.24398285714285714</v>
      </c>
      <c r="AH39" s="338">
        <f t="shared" ref="AH39" si="339">SUM(AH35:AH38)</f>
        <v>3400000000</v>
      </c>
      <c r="AI39" s="338">
        <f t="shared" ref="AI39" si="340">SUM(AI35:AI38)</f>
        <v>1115150000</v>
      </c>
      <c r="AJ39" s="339">
        <f t="shared" ref="AJ39" si="341">IFERROR(AI39/AH39,0%)</f>
        <v>0.32798529411764704</v>
      </c>
      <c r="AK39" s="338">
        <f t="shared" ref="AK39" si="342">SUM(AK35:AK38)</f>
        <v>4100000000</v>
      </c>
      <c r="AL39" s="338">
        <f t="shared" ref="AL39" si="343">SUM(AL35:AL38)</f>
        <v>1133550000</v>
      </c>
      <c r="AM39" s="339">
        <f t="shared" ref="AM39" si="344">IFERROR(AL39/AK39,0%)</f>
        <v>0.27647560975609758</v>
      </c>
      <c r="AN39" s="338">
        <f t="shared" ref="AN39" si="345">SUM(AN35:AN38)</f>
        <v>4100000000</v>
      </c>
      <c r="AO39" s="338">
        <f t="shared" ref="AO39" si="346">SUM(AO35:AO38)</f>
        <v>982000000</v>
      </c>
      <c r="AP39" s="339">
        <f t="shared" ref="AP39" si="347">IFERROR(AO39/AN39,0%)</f>
        <v>0.23951219512195121</v>
      </c>
      <c r="AQ39" s="338">
        <f t="shared" ref="AQ39" si="348">SUM(AQ35:AQ38)</f>
        <v>1200000000</v>
      </c>
      <c r="AR39" s="338">
        <f t="shared" ref="AR39" si="349">SUM(AR35:AR38)</f>
        <v>2649250000</v>
      </c>
      <c r="AS39" s="340">
        <f t="shared" si="15"/>
        <v>2.2077083333333332</v>
      </c>
      <c r="AT39" s="338">
        <f t="shared" si="88"/>
        <v>6050000000</v>
      </c>
      <c r="AU39" s="338">
        <f t="shared" si="89"/>
        <v>2865790000</v>
      </c>
      <c r="AV39" s="340">
        <f t="shared" si="17"/>
        <v>0.47368429752066116</v>
      </c>
      <c r="AW39" s="338">
        <f t="shared" ref="AW39" si="350">V39+Y39+AB39</f>
        <v>9510000000</v>
      </c>
      <c r="AX39" s="338">
        <f t="shared" ref="AX39" si="351">W39+Z39+AC39</f>
        <v>4178000000</v>
      </c>
      <c r="AY39" s="340">
        <f t="shared" si="20"/>
        <v>0.43932702418506836</v>
      </c>
      <c r="AZ39" s="338">
        <f t="shared" si="21"/>
        <v>11600000000</v>
      </c>
      <c r="BA39" s="338">
        <f t="shared" si="22"/>
        <v>3230700000</v>
      </c>
      <c r="BB39" s="340">
        <f t="shared" si="23"/>
        <v>0.27850862068965515</v>
      </c>
      <c r="BC39" s="338">
        <f t="shared" si="91"/>
        <v>20160000000</v>
      </c>
      <c r="BD39" s="338">
        <f t="shared" si="92"/>
        <v>11941740000</v>
      </c>
      <c r="BE39" s="340">
        <f t="shared" si="25"/>
        <v>0.59234821428571427</v>
      </c>
      <c r="BF39" s="244">
        <f t="shared" ref="BF39" si="352">(BD39/10*1.1*2+BD39)/D39</f>
        <v>0.49219333783783786</v>
      </c>
      <c r="BG39" s="39"/>
      <c r="BO39" s="525" t="s">
        <v>105</v>
      </c>
      <c r="BP39" s="526"/>
      <c r="BQ39" s="526"/>
      <c r="BR39" s="338"/>
      <c r="BS39" s="338"/>
      <c r="BT39" s="339"/>
      <c r="BU39" s="338"/>
      <c r="BV39" s="338"/>
      <c r="BW39" s="340"/>
      <c r="BX39" s="338"/>
      <c r="BY39" s="338"/>
      <c r="BZ39" s="340"/>
      <c r="CA39" s="338"/>
      <c r="CB39" s="338"/>
      <c r="CC39" s="340"/>
      <c r="CD39" s="338"/>
      <c r="CE39" s="338"/>
      <c r="CF39" s="340"/>
      <c r="CG39" s="338"/>
      <c r="CH39" s="338"/>
      <c r="CI39" s="339"/>
      <c r="CJ39" s="338"/>
      <c r="CK39" s="338"/>
      <c r="CL39" s="340"/>
      <c r="CM39" s="338"/>
      <c r="CN39" s="338"/>
      <c r="CO39" s="339"/>
      <c r="CP39" s="338"/>
      <c r="CQ39" s="338"/>
      <c r="CR39" s="339"/>
      <c r="CS39" s="338"/>
      <c r="CT39" s="338"/>
      <c r="CU39" s="339"/>
      <c r="CV39" s="338"/>
      <c r="CW39" s="338"/>
      <c r="CX39" s="339"/>
      <c r="CY39" s="338"/>
      <c r="CZ39" s="338"/>
      <c r="DA39" s="339"/>
      <c r="DB39" s="338"/>
      <c r="DC39" s="338"/>
      <c r="DD39" s="339"/>
      <c r="DE39" s="338"/>
      <c r="DF39" s="338"/>
      <c r="DG39" s="340"/>
      <c r="DH39" s="338"/>
      <c r="DI39" s="338"/>
      <c r="DJ39" s="340"/>
      <c r="DK39" s="338"/>
      <c r="DL39" s="338"/>
      <c r="DM39" s="340"/>
      <c r="DN39" s="338"/>
      <c r="DO39" s="338"/>
      <c r="DP39" s="340"/>
      <c r="DQ39" s="338"/>
      <c r="DR39" s="338"/>
      <c r="DS39" s="340"/>
      <c r="DT39" s="244"/>
    </row>
    <row r="40" spans="1:124" ht="14.25" customHeight="1">
      <c r="BF40" s="39"/>
      <c r="BG40" s="39"/>
    </row>
    <row r="41" spans="1:124">
      <c r="A41"/>
      <c r="B41"/>
      <c r="AK41" s="248" t="s">
        <v>5</v>
      </c>
      <c r="AL41" s="249" t="s">
        <v>6</v>
      </c>
      <c r="AM41" s="249" t="s">
        <v>7</v>
      </c>
      <c r="AN41" s="249" t="s">
        <v>8</v>
      </c>
      <c r="AO41" s="249" t="s">
        <v>9</v>
      </c>
      <c r="AP41" s="250" t="s">
        <v>10</v>
      </c>
      <c r="BF41" s="39"/>
      <c r="BG41" s="39"/>
    </row>
    <row r="42" spans="1:124">
      <c r="AJ42" s="62" t="s">
        <v>39</v>
      </c>
      <c r="AK42" s="60">
        <v>1500</v>
      </c>
      <c r="AL42" s="61">
        <v>0</v>
      </c>
      <c r="AM42" s="61">
        <v>2149</v>
      </c>
      <c r="AN42" s="61">
        <v>0</v>
      </c>
      <c r="AO42" s="61">
        <v>0</v>
      </c>
      <c r="AP42" s="180">
        <v>0</v>
      </c>
      <c r="AQ42">
        <v>4173.6000000000004</v>
      </c>
      <c r="BF42" s="39"/>
      <c r="BG42" s="39"/>
    </row>
    <row r="43" spans="1:124">
      <c r="A43" s="264" t="s">
        <v>106</v>
      </c>
      <c r="B43" s="264">
        <v>1</v>
      </c>
      <c r="C43" s="264">
        <v>2</v>
      </c>
      <c r="D43" s="264">
        <v>3</v>
      </c>
      <c r="E43" s="264">
        <v>4</v>
      </c>
      <c r="F43" s="264">
        <v>5</v>
      </c>
      <c r="G43" s="264">
        <v>6</v>
      </c>
      <c r="H43" s="264">
        <v>7</v>
      </c>
      <c r="I43" s="264">
        <v>8</v>
      </c>
      <c r="J43" s="264">
        <v>9</v>
      </c>
      <c r="K43" s="264">
        <v>10</v>
      </c>
      <c r="L43" s="264">
        <v>11</v>
      </c>
      <c r="M43" s="264">
        <v>12</v>
      </c>
      <c r="N43" s="264" t="s">
        <v>107</v>
      </c>
      <c r="AJ43" s="1" t="s">
        <v>40</v>
      </c>
      <c r="AK43" s="272">
        <v>2858</v>
      </c>
      <c r="AL43" s="2">
        <v>0</v>
      </c>
      <c r="AM43" s="251">
        <v>5324</v>
      </c>
      <c r="AN43" s="251">
        <v>6447.688537</v>
      </c>
      <c r="AO43" s="251">
        <v>0</v>
      </c>
      <c r="AP43" s="181">
        <v>681</v>
      </c>
      <c r="AQ43">
        <v>11796.442902000001</v>
      </c>
      <c r="BF43" s="39"/>
      <c r="BG43" s="39"/>
      <c r="BX43" s="248" t="s">
        <v>5</v>
      </c>
      <c r="BY43" s="249" t="s">
        <v>6</v>
      </c>
      <c r="BZ43" s="249" t="s">
        <v>7</v>
      </c>
      <c r="CA43" s="249" t="s">
        <v>8</v>
      </c>
      <c r="CB43" s="249" t="s">
        <v>9</v>
      </c>
      <c r="CC43" s="429" t="s">
        <v>10</v>
      </c>
    </row>
    <row r="44" spans="1:124">
      <c r="A44" s="123" t="s">
        <v>7</v>
      </c>
      <c r="B44" s="123">
        <v>7201457102</v>
      </c>
      <c r="C44" s="123">
        <v>6988329399</v>
      </c>
      <c r="D44" s="123">
        <v>12002117506</v>
      </c>
      <c r="E44" s="123">
        <v>10093572063</v>
      </c>
      <c r="F44" s="123">
        <v>7772872873</v>
      </c>
      <c r="G44" s="123">
        <v>7482600414</v>
      </c>
      <c r="H44" s="123">
        <v>7274758606</v>
      </c>
      <c r="I44" s="123">
        <v>7931216351</v>
      </c>
      <c r="J44" s="123">
        <v>6644704920</v>
      </c>
      <c r="K44" s="123">
        <v>7186634421</v>
      </c>
      <c r="L44" s="123">
        <v>6592619793</v>
      </c>
      <c r="M44" s="123">
        <v>5937377995</v>
      </c>
      <c r="N44" s="265">
        <f>SUM(B44:M44)</f>
        <v>93108261443</v>
      </c>
      <c r="AJ44" s="3" t="s">
        <v>108</v>
      </c>
      <c r="AK44" s="182">
        <v>5777</v>
      </c>
      <c r="AL44" s="183">
        <v>1247.4499999999998</v>
      </c>
      <c r="AM44" s="183">
        <v>3474</v>
      </c>
      <c r="AN44" s="183">
        <v>5440.1607060000015</v>
      </c>
      <c r="AO44" s="184">
        <v>468</v>
      </c>
      <c r="AP44" s="185">
        <v>301</v>
      </c>
      <c r="AQ44">
        <v>12623.446174000001</v>
      </c>
      <c r="BW44" s="62" t="s">
        <v>39</v>
      </c>
      <c r="BX44" s="60">
        <f>SUM!D45</f>
        <v>445</v>
      </c>
      <c r="BY44" s="61"/>
      <c r="BZ44" s="61">
        <f>SUM!F45</f>
        <v>330</v>
      </c>
      <c r="CA44" s="61">
        <f>SUM!G45</f>
        <v>0</v>
      </c>
      <c r="CB44" s="61">
        <f>SUM!H45</f>
        <v>0</v>
      </c>
      <c r="CC44" s="253">
        <v>0</v>
      </c>
    </row>
    <row r="45" spans="1:124">
      <c r="A45" s="123" t="s">
        <v>5</v>
      </c>
      <c r="B45" s="265">
        <v>1898384419</v>
      </c>
      <c r="C45" s="265">
        <v>1085756670</v>
      </c>
      <c r="D45" s="265">
        <v>1683815818</v>
      </c>
      <c r="E45" s="265">
        <v>1534716714</v>
      </c>
      <c r="F45" s="265">
        <v>1643624025</v>
      </c>
      <c r="G45" s="265">
        <v>1840374723</v>
      </c>
      <c r="H45" s="265">
        <v>2660941823</v>
      </c>
      <c r="I45" s="265">
        <v>3246009116</v>
      </c>
      <c r="J45" s="265">
        <v>2507767664</v>
      </c>
      <c r="K45" s="265">
        <v>3041532763</v>
      </c>
      <c r="L45" s="265">
        <v>3560810309</v>
      </c>
      <c r="M45" s="265">
        <v>3506580128</v>
      </c>
      <c r="N45" s="265">
        <f t="shared" ref="N45:N47" si="353">SUM(B45:M45)</f>
        <v>28210314172</v>
      </c>
      <c r="AJ45" s="3" t="s">
        <v>109</v>
      </c>
      <c r="AK45" s="252">
        <v>2988</v>
      </c>
      <c r="AL45" s="77"/>
      <c r="AM45" s="77">
        <v>1902</v>
      </c>
      <c r="AN45" s="78"/>
      <c r="AO45" s="78"/>
      <c r="AP45" s="253">
        <v>0</v>
      </c>
      <c r="AQ45">
        <v>1409</v>
      </c>
      <c r="BW45" s="1" t="s">
        <v>40</v>
      </c>
      <c r="BX45" s="60">
        <f>SUM!D46</f>
        <v>355</v>
      </c>
      <c r="BY45" s="61">
        <f>SUM!E45</f>
        <v>0</v>
      </c>
      <c r="BZ45" s="61">
        <f>SUM!F46</f>
        <v>2921</v>
      </c>
      <c r="CA45" s="61">
        <f>SUM!G46</f>
        <v>2712</v>
      </c>
      <c r="CB45" s="61">
        <f>SUM!H46</f>
        <v>0</v>
      </c>
      <c r="CC45" s="181"/>
    </row>
    <row r="46" spans="1:124">
      <c r="A46" s="123" t="s">
        <v>8</v>
      </c>
      <c r="B46" s="265">
        <v>2625120771</v>
      </c>
      <c r="C46" s="265">
        <v>2017762685</v>
      </c>
      <c r="D46" s="265">
        <v>4948131587</v>
      </c>
      <c r="E46" s="265">
        <v>4153258146</v>
      </c>
      <c r="F46" s="265">
        <v>4477744300</v>
      </c>
      <c r="G46" s="265">
        <v>4367964941</v>
      </c>
      <c r="H46" s="265">
        <v>5285255641</v>
      </c>
      <c r="I46" s="265">
        <v>3997113517</v>
      </c>
      <c r="J46" s="265">
        <v>4436287662</v>
      </c>
      <c r="K46" s="265">
        <v>5795009294</v>
      </c>
      <c r="L46" s="265">
        <v>6489488516</v>
      </c>
      <c r="M46" s="265">
        <v>6636571339</v>
      </c>
      <c r="N46" s="265">
        <f t="shared" si="353"/>
        <v>55229708399</v>
      </c>
      <c r="AJ46" s="256" t="s">
        <v>44</v>
      </c>
      <c r="AK46" s="254"/>
      <c r="AL46" s="184"/>
      <c r="AM46" s="273">
        <v>7739</v>
      </c>
      <c r="AN46" s="184"/>
      <c r="AO46" s="184"/>
      <c r="AP46" s="255">
        <v>0</v>
      </c>
      <c r="AQ46">
        <v>4597</v>
      </c>
      <c r="BW46" s="3" t="s">
        <v>108</v>
      </c>
      <c r="BX46" s="60">
        <f>SUM!D47</f>
        <v>1470</v>
      </c>
      <c r="BY46" s="61">
        <f>SUM!E46</f>
        <v>19.12</v>
      </c>
      <c r="BZ46" s="61">
        <f>SUM!F47</f>
        <v>1268</v>
      </c>
      <c r="CA46" s="61">
        <f>SUM!G47</f>
        <v>3283</v>
      </c>
      <c r="CB46" s="61">
        <f>SUM!H47</f>
        <v>343</v>
      </c>
      <c r="CC46" s="432"/>
    </row>
    <row r="47" spans="1:124">
      <c r="A47" s="123" t="s">
        <v>100</v>
      </c>
      <c r="B47" s="265">
        <v>589250000</v>
      </c>
      <c r="C47" s="265">
        <v>1040000000</v>
      </c>
      <c r="D47" s="265">
        <v>1020000000</v>
      </c>
      <c r="E47" s="265">
        <v>934630000</v>
      </c>
      <c r="F47" s="265">
        <v>719590000</v>
      </c>
      <c r="G47" s="265">
        <v>1190000000</v>
      </c>
      <c r="H47" s="265">
        <v>990210000</v>
      </c>
      <c r="I47" s="265">
        <v>920780000</v>
      </c>
      <c r="J47" s="265">
        <v>506240000</v>
      </c>
      <c r="K47" s="265">
        <v>918550000</v>
      </c>
      <c r="L47" s="37">
        <v>735850000</v>
      </c>
      <c r="M47" s="265">
        <f>AP43*10^6</f>
        <v>681000000</v>
      </c>
      <c r="N47" s="265">
        <f t="shared" si="353"/>
        <v>10246100000</v>
      </c>
      <c r="AJ47" s="2"/>
      <c r="AK47" s="268"/>
      <c r="AL47" s="2"/>
      <c r="AM47" s="269"/>
      <c r="AN47" s="2"/>
      <c r="AO47" s="2"/>
      <c r="AP47" s="2"/>
      <c r="BW47" s="3" t="s">
        <v>109</v>
      </c>
      <c r="BX47" s="435">
        <f>SUM!D48</f>
        <v>0</v>
      </c>
      <c r="BY47" s="61">
        <f>SUM!E47</f>
        <v>885.07</v>
      </c>
      <c r="BZ47" s="61">
        <f>SUM!F48</f>
        <v>1173</v>
      </c>
      <c r="CA47" s="61">
        <f>SUM!G48</f>
        <v>0</v>
      </c>
      <c r="CB47" s="61">
        <f>SUM!H48</f>
        <v>0</v>
      </c>
      <c r="CC47" s="436">
        <v>0</v>
      </c>
    </row>
    <row r="48" spans="1:124">
      <c r="A48" s="266" t="s">
        <v>107</v>
      </c>
      <c r="B48" s="267">
        <f>SUM(B44:B46)</f>
        <v>11724962292</v>
      </c>
      <c r="C48" s="267">
        <f t="shared" ref="C48:N48" si="354">SUM(C44:C46)</f>
        <v>10091848754</v>
      </c>
      <c r="D48" s="267">
        <f t="shared" si="354"/>
        <v>18634064911</v>
      </c>
      <c r="E48" s="267">
        <f t="shared" si="354"/>
        <v>15781546923</v>
      </c>
      <c r="F48" s="267">
        <f t="shared" si="354"/>
        <v>13894241198</v>
      </c>
      <c r="G48" s="267">
        <f t="shared" si="354"/>
        <v>13690940078</v>
      </c>
      <c r="H48" s="267">
        <f t="shared" si="354"/>
        <v>15220956070</v>
      </c>
      <c r="I48" s="267">
        <f t="shared" si="354"/>
        <v>15174338984</v>
      </c>
      <c r="J48" s="267">
        <f t="shared" si="354"/>
        <v>13588760246</v>
      </c>
      <c r="K48" s="267">
        <f t="shared" si="354"/>
        <v>16023176478</v>
      </c>
      <c r="L48" s="267">
        <f t="shared" si="354"/>
        <v>16642918618</v>
      </c>
      <c r="M48" s="267">
        <f t="shared" si="354"/>
        <v>16080529462</v>
      </c>
      <c r="N48" s="267">
        <f t="shared" si="354"/>
        <v>176548284014</v>
      </c>
      <c r="BW48" s="256" t="s">
        <v>44</v>
      </c>
      <c r="BX48" s="433"/>
      <c r="BY48" s="434"/>
      <c r="BZ48" s="434">
        <f>SUM!F49</f>
        <v>2975</v>
      </c>
      <c r="CA48" s="434">
        <f>SUM!G49</f>
        <v>0</v>
      </c>
      <c r="CB48" s="430">
        <f>SUM!H49</f>
        <v>0</v>
      </c>
      <c r="CC48" s="431">
        <v>0</v>
      </c>
    </row>
    <row r="49" spans="1:14"/>
    <row r="50" spans="1:14"/>
    <row r="51" spans="1:14" ht="14.25" customHeight="1">
      <c r="A51" s="264" t="s">
        <v>41</v>
      </c>
      <c r="B51" s="264">
        <v>1</v>
      </c>
      <c r="C51" s="264">
        <v>2</v>
      </c>
      <c r="D51" s="264">
        <v>3</v>
      </c>
      <c r="E51" s="264">
        <v>4</v>
      </c>
      <c r="F51" s="264">
        <v>5</v>
      </c>
      <c r="G51" s="264">
        <v>6</v>
      </c>
      <c r="H51" s="264">
        <v>7</v>
      </c>
      <c r="I51" s="264">
        <v>8</v>
      </c>
      <c r="J51" s="264">
        <v>9</v>
      </c>
      <c r="K51" s="264">
        <v>10</v>
      </c>
      <c r="L51" s="264">
        <v>11</v>
      </c>
      <c r="M51" s="264">
        <v>12</v>
      </c>
      <c r="N51" s="264" t="s">
        <v>107</v>
      </c>
    </row>
    <row r="52" spans="1:14" ht="14.25" customHeight="1">
      <c r="A52" s="123" t="s">
        <v>7</v>
      </c>
      <c r="B52" s="265">
        <v>3583590000</v>
      </c>
      <c r="C52" s="265">
        <v>5861970000</v>
      </c>
      <c r="D52" s="265">
        <v>6428770000</v>
      </c>
      <c r="E52" s="265">
        <v>5144070000</v>
      </c>
      <c r="F52" s="265">
        <v>6257390000</v>
      </c>
      <c r="G52" s="265">
        <v>7163310000</v>
      </c>
      <c r="H52" s="265">
        <v>6231620000</v>
      </c>
      <c r="I52" s="265">
        <v>6042640000</v>
      </c>
      <c r="J52" s="265">
        <v>4879712000</v>
      </c>
      <c r="K52" s="265">
        <v>5377991000</v>
      </c>
      <c r="L52" s="265">
        <v>7021940000</v>
      </c>
      <c r="M52" s="265">
        <v>5376142000</v>
      </c>
      <c r="N52" s="265">
        <f>SUM(B52:M52)</f>
        <v>69369145000</v>
      </c>
    </row>
    <row r="53" spans="1:14" ht="14.25" customHeight="1">
      <c r="A53" s="123" t="s">
        <v>5</v>
      </c>
      <c r="B53" s="265">
        <v>3926290000</v>
      </c>
      <c r="C53" s="265">
        <v>3322690000</v>
      </c>
      <c r="D53" s="265">
        <v>5395748102</v>
      </c>
      <c r="E53" s="265">
        <v>4775893098</v>
      </c>
      <c r="F53" s="265">
        <v>5487951494</v>
      </c>
      <c r="G53" s="265">
        <v>4656591694</v>
      </c>
      <c r="H53" s="265">
        <v>5257033201</v>
      </c>
      <c r="I53" s="265">
        <v>4768722620</v>
      </c>
      <c r="J53" s="265">
        <v>5752881214</v>
      </c>
      <c r="K53" s="265">
        <v>6658149067</v>
      </c>
      <c r="L53" s="265">
        <v>5713394672</v>
      </c>
      <c r="M53" s="265">
        <v>5777593438</v>
      </c>
      <c r="N53" s="265">
        <f>SUM(B53:M53)</f>
        <v>61492938600</v>
      </c>
    </row>
    <row r="54" spans="1:14" ht="14.25" customHeight="1">
      <c r="A54" s="123" t="s">
        <v>9</v>
      </c>
      <c r="B54" s="123">
        <v>241792842</v>
      </c>
      <c r="C54" s="123">
        <v>203151666</v>
      </c>
      <c r="D54" s="123">
        <v>790527061</v>
      </c>
      <c r="E54" s="123">
        <v>170512232</v>
      </c>
      <c r="F54" s="123">
        <v>266096274</v>
      </c>
      <c r="G54" s="123">
        <v>169458791</v>
      </c>
      <c r="H54" s="123">
        <v>134013523</v>
      </c>
      <c r="I54" s="123">
        <v>109806380</v>
      </c>
      <c r="J54" s="123">
        <v>19108637</v>
      </c>
      <c r="K54" s="123">
        <v>427196592</v>
      </c>
      <c r="L54" s="123">
        <v>1021869527</v>
      </c>
      <c r="M54" s="123">
        <v>468234833</v>
      </c>
      <c r="N54" s="265">
        <f t="shared" ref="N53:N57" si="355">SUM(B54:M54)</f>
        <v>4021768358</v>
      </c>
    </row>
    <row r="55" spans="1:14" ht="14.25" customHeight="1">
      <c r="A55" s="123" t="s">
        <v>8</v>
      </c>
      <c r="B55" s="123">
        <v>5267313883</v>
      </c>
      <c r="C55" s="123">
        <v>4363960684</v>
      </c>
      <c r="D55" s="123">
        <v>5855754945</v>
      </c>
      <c r="E55" s="123">
        <v>5781529614</v>
      </c>
      <c r="F55" s="123">
        <v>7732805689</v>
      </c>
      <c r="G55" s="123">
        <v>7156203020</v>
      </c>
      <c r="H55" s="123">
        <v>5210571489</v>
      </c>
      <c r="I55" s="123">
        <v>6963991106</v>
      </c>
      <c r="J55" s="123">
        <v>4405175736</v>
      </c>
      <c r="K55" s="123">
        <v>7278347783</v>
      </c>
      <c r="L55" s="123">
        <v>8275698552</v>
      </c>
      <c r="M55" s="123">
        <v>5494075698</v>
      </c>
      <c r="N55" s="265">
        <f>SUM(B55:M55)</f>
        <v>73785428199</v>
      </c>
    </row>
    <row r="56" spans="1:14" ht="14.25" customHeight="1">
      <c r="A56" s="123" t="s">
        <v>100</v>
      </c>
      <c r="B56" s="265"/>
      <c r="C56" s="265"/>
      <c r="D56" s="265"/>
      <c r="E56" s="123">
        <v>373700000</v>
      </c>
      <c r="F56" s="123">
        <v>557200000</v>
      </c>
      <c r="G56" s="123">
        <v>642300000</v>
      </c>
      <c r="H56" s="123">
        <v>868200000</v>
      </c>
      <c r="I56" s="123">
        <v>649500000</v>
      </c>
      <c r="J56" s="123">
        <v>347700000</v>
      </c>
      <c r="K56" s="123">
        <v>196600000</v>
      </c>
      <c r="L56" s="123">
        <v>397700000</v>
      </c>
      <c r="M56" s="123">
        <v>301000000</v>
      </c>
      <c r="N56" s="265">
        <f t="shared" si="355"/>
        <v>4333900000</v>
      </c>
    </row>
    <row r="57" spans="1:14" ht="14.25" customHeight="1">
      <c r="A57" s="123" t="s">
        <v>6</v>
      </c>
      <c r="B57" s="123">
        <v>1428800000</v>
      </c>
      <c r="C57" s="123">
        <v>2384212000</v>
      </c>
      <c r="D57" s="123">
        <v>2773630000</v>
      </c>
      <c r="E57" s="123">
        <v>2019820000</v>
      </c>
      <c r="F57" s="123">
        <v>2227237729</v>
      </c>
      <c r="G57" s="123">
        <v>2193475500</v>
      </c>
      <c r="H57" s="123">
        <v>2454473014</v>
      </c>
      <c r="I57" s="123">
        <v>2538123534</v>
      </c>
      <c r="J57" s="123">
        <v>2050851617</v>
      </c>
      <c r="K57" s="123">
        <v>1931492262</v>
      </c>
      <c r="L57" s="123">
        <v>1334107012</v>
      </c>
      <c r="M57" s="123">
        <v>1521093469</v>
      </c>
      <c r="N57" s="265">
        <f t="shared" si="355"/>
        <v>24857316137</v>
      </c>
    </row>
    <row r="58" spans="1:14" ht="14.25" customHeight="1">
      <c r="A58" s="266" t="s">
        <v>107</v>
      </c>
      <c r="B58" s="267">
        <f>SUM(B52:B55)</f>
        <v>13018986725</v>
      </c>
      <c r="C58" s="267">
        <f>SUM(C52:C55)</f>
        <v>13751772350</v>
      </c>
      <c r="D58" s="267">
        <f>SUM(D52:D55)</f>
        <v>18470800108</v>
      </c>
      <c r="E58" s="267">
        <f>SUM(E52:E55)</f>
        <v>15872004944</v>
      </c>
      <c r="F58" s="267">
        <f>SUM(F52:F55)</f>
        <v>19744243457</v>
      </c>
      <c r="G58" s="267">
        <f>SUM(G52:G55)</f>
        <v>19145563505</v>
      </c>
      <c r="H58" s="267">
        <f>SUM(H52:H55)</f>
        <v>16833238213</v>
      </c>
      <c r="I58" s="267">
        <f>SUM(I52:I55)</f>
        <v>17885160106</v>
      </c>
      <c r="J58" s="267">
        <f>SUM(J52:J55)</f>
        <v>15056877587</v>
      </c>
      <c r="K58" s="267">
        <f>SUM(K52:K55)</f>
        <v>19741684442</v>
      </c>
      <c r="L58" s="267">
        <f>SUM(L52:L55)</f>
        <v>22032902751</v>
      </c>
      <c r="M58" s="267">
        <f>SUM(M52:M55)</f>
        <v>17116045969</v>
      </c>
      <c r="N58" s="267">
        <f>SUM(N52:N56)</f>
        <v>213003180157</v>
      </c>
    </row>
    <row r="59" spans="1:14" ht="14.25" customHeight="1">
      <c r="A59"/>
      <c r="B59"/>
    </row>
    <row r="62" spans="1:14" ht="14.25" customHeight="1">
      <c r="A62" s="264" t="s">
        <v>39</v>
      </c>
      <c r="B62" s="264">
        <v>1</v>
      </c>
      <c r="C62" s="264">
        <v>2</v>
      </c>
      <c r="D62" s="264">
        <v>3</v>
      </c>
      <c r="E62" s="264">
        <v>4</v>
      </c>
      <c r="F62" s="264">
        <v>5</v>
      </c>
      <c r="G62" s="264">
        <v>6</v>
      </c>
      <c r="H62" s="264">
        <v>7</v>
      </c>
      <c r="I62" s="264">
        <v>8</v>
      </c>
      <c r="J62" s="264">
        <v>9</v>
      </c>
      <c r="K62" s="264">
        <v>10</v>
      </c>
      <c r="L62" s="264">
        <v>11</v>
      </c>
      <c r="M62" s="264">
        <v>12</v>
      </c>
      <c r="N62" s="264" t="s">
        <v>107</v>
      </c>
    </row>
    <row r="63" spans="1:14" ht="14.25" customHeight="1">
      <c r="A63" s="123" t="s">
        <v>7</v>
      </c>
      <c r="B63" s="123">
        <v>961703500</v>
      </c>
      <c r="C63" s="123">
        <v>807580100</v>
      </c>
      <c r="D63" s="123">
        <v>2554885700</v>
      </c>
      <c r="E63" s="123">
        <v>5404066350</v>
      </c>
      <c r="F63" s="123">
        <v>6348545870</v>
      </c>
      <c r="G63" s="123">
        <v>4193064828</v>
      </c>
      <c r="H63" s="123">
        <v>2992031050</v>
      </c>
      <c r="I63" s="123">
        <v>5438470170</v>
      </c>
      <c r="J63" s="123">
        <v>2772382985</v>
      </c>
      <c r="K63" s="123">
        <v>6309816145</v>
      </c>
      <c r="L63" s="123">
        <v>3618531050</v>
      </c>
      <c r="M63" s="123">
        <v>2147399950</v>
      </c>
      <c r="N63" s="265">
        <f t="shared" ref="N63:N65" si="356">SUM(B63:M63)</f>
        <v>43548477698</v>
      </c>
    </row>
    <row r="64" spans="1:14" ht="14.25" customHeight="1">
      <c r="A64" s="123" t="s">
        <v>5</v>
      </c>
      <c r="B64" s="265">
        <v>133057000</v>
      </c>
      <c r="C64" s="265">
        <v>1694634900</v>
      </c>
      <c r="D64" s="265">
        <v>680333000</v>
      </c>
      <c r="E64" s="265">
        <v>179131600</v>
      </c>
      <c r="F64" s="265">
        <v>904989111</v>
      </c>
      <c r="G64" s="265">
        <v>810577000</v>
      </c>
      <c r="H64" s="265">
        <v>947783000</v>
      </c>
      <c r="I64" s="265">
        <v>587764000</v>
      </c>
      <c r="J64" s="265">
        <v>856421000</v>
      </c>
      <c r="K64" s="265">
        <v>1719065200</v>
      </c>
      <c r="L64" s="265">
        <v>1817230000</v>
      </c>
      <c r="M64" s="265">
        <v>1500629000</v>
      </c>
      <c r="N64" s="265">
        <f t="shared" si="356"/>
        <v>11831614811</v>
      </c>
    </row>
    <row r="65" spans="1:15" ht="14.25" customHeight="1">
      <c r="A65" s="38" t="s">
        <v>8</v>
      </c>
      <c r="E65" s="187">
        <v>82800000</v>
      </c>
      <c r="I65" s="187">
        <v>350767000</v>
      </c>
      <c r="J65" s="187">
        <v>132072000</v>
      </c>
      <c r="K65" s="187">
        <v>27520000</v>
      </c>
      <c r="N65" s="265">
        <f t="shared" si="356"/>
        <v>593159000</v>
      </c>
    </row>
    <row r="66" spans="1:15" ht="14.25" customHeight="1">
      <c r="A66" s="38" t="s">
        <v>6</v>
      </c>
      <c r="G66" s="123">
        <v>323890300</v>
      </c>
      <c r="H66" s="123">
        <v>351352250</v>
      </c>
      <c r="I66" s="123">
        <v>572498450</v>
      </c>
    </row>
    <row r="67" spans="1:15" ht="14.25" customHeight="1">
      <c r="A67" s="266" t="s">
        <v>107</v>
      </c>
      <c r="B67" s="267">
        <f>SUM(B62:B64)</f>
        <v>1094760501</v>
      </c>
      <c r="C67" s="267">
        <f>SUM(C62:C64)</f>
        <v>2502215002</v>
      </c>
      <c r="D67" s="267">
        <f>SUM(D62:D64)</f>
        <v>3235218703</v>
      </c>
      <c r="E67" s="267">
        <f>SUM(E62:E64)</f>
        <v>5583197954</v>
      </c>
      <c r="F67" s="267">
        <f>SUM(F62:F64)</f>
        <v>7253534986</v>
      </c>
      <c r="G67" s="267">
        <f>SUM(G62:G64)</f>
        <v>5003641834</v>
      </c>
      <c r="H67" s="267">
        <f>SUM(H62:H64)</f>
        <v>3939814057</v>
      </c>
      <c r="I67" s="267">
        <f>SUM(I62:I64)</f>
        <v>6026234178</v>
      </c>
      <c r="J67" s="267">
        <f>SUM(J62:J64)</f>
        <v>3628803994</v>
      </c>
      <c r="K67" s="267">
        <f>SUM(K62:K64)</f>
        <v>8028881355</v>
      </c>
      <c r="L67" s="267">
        <f>SUM(L62:L64)</f>
        <v>5435761061</v>
      </c>
      <c r="M67" s="267">
        <f>SUM(M61:M64)</f>
        <v>3648028962</v>
      </c>
      <c r="N67" s="267">
        <f>SUM(N63:N64)</f>
        <v>55380092509</v>
      </c>
    </row>
    <row r="69" spans="1:15" ht="14.25" customHeight="1">
      <c r="A69" s="264" t="s">
        <v>43</v>
      </c>
      <c r="B69" s="264">
        <v>1</v>
      </c>
      <c r="C69" s="264">
        <v>2</v>
      </c>
      <c r="D69" s="264">
        <v>3</v>
      </c>
      <c r="E69" s="264">
        <v>4</v>
      </c>
      <c r="F69" s="264">
        <v>5</v>
      </c>
      <c r="G69" s="264">
        <v>6</v>
      </c>
      <c r="H69" s="264">
        <v>7</v>
      </c>
      <c r="I69" s="264">
        <v>8</v>
      </c>
      <c r="J69" s="264">
        <v>9</v>
      </c>
      <c r="K69" s="264">
        <v>10</v>
      </c>
      <c r="L69" s="264">
        <v>11</v>
      </c>
      <c r="M69" s="264">
        <v>12</v>
      </c>
      <c r="N69" s="264" t="s">
        <v>107</v>
      </c>
    </row>
    <row r="70" spans="1:15" ht="14.25" customHeight="1">
      <c r="A70" s="123" t="s">
        <v>7</v>
      </c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>
        <f t="shared" ref="N70:N73" si="357">SUM(B70:M70)</f>
        <v>0</v>
      </c>
    </row>
    <row r="71" spans="1:15" ht="14.25" customHeight="1">
      <c r="A71" s="123" t="s">
        <v>9</v>
      </c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>
        <f>AO45*10^6</f>
        <v>0</v>
      </c>
      <c r="N71" s="265">
        <f t="shared" si="357"/>
        <v>0</v>
      </c>
    </row>
    <row r="72" spans="1:15" ht="14.25" customHeight="1">
      <c r="A72" s="123" t="s">
        <v>8</v>
      </c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>
        <f t="shared" si="357"/>
        <v>0</v>
      </c>
    </row>
    <row r="73" spans="1:15" ht="14.25" customHeight="1">
      <c r="A73" s="123" t="s">
        <v>5</v>
      </c>
      <c r="B73" s="265">
        <v>2276000000</v>
      </c>
      <c r="C73" s="265">
        <v>2271000000</v>
      </c>
      <c r="D73" s="265">
        <v>2349000000</v>
      </c>
      <c r="E73" s="265">
        <v>2343000000</v>
      </c>
      <c r="F73" s="265">
        <v>2498000000</v>
      </c>
      <c r="G73" s="265">
        <v>2475000000</v>
      </c>
      <c r="H73" s="265">
        <v>2700000000</v>
      </c>
      <c r="I73" s="265">
        <v>2813000000</v>
      </c>
      <c r="J73" s="265">
        <v>3060000000</v>
      </c>
      <c r="K73" s="265">
        <v>3147000000</v>
      </c>
      <c r="L73" s="265">
        <v>2836000000</v>
      </c>
      <c r="M73" s="265">
        <v>2988000000</v>
      </c>
      <c r="N73" s="265">
        <f t="shared" si="357"/>
        <v>31756000000</v>
      </c>
    </row>
    <row r="74" spans="1:15" ht="14.25" customHeight="1">
      <c r="A74" s="266" t="s">
        <v>107</v>
      </c>
      <c r="B74" s="267">
        <v>2863520654</v>
      </c>
      <c r="C74" s="267">
        <v>1525573240</v>
      </c>
      <c r="D74" s="267">
        <v>2605381106</v>
      </c>
      <c r="E74" s="267">
        <v>2018319693</v>
      </c>
      <c r="F74" s="267">
        <v>4628758248</v>
      </c>
      <c r="G74" s="267">
        <v>3718961962</v>
      </c>
      <c r="H74" s="267">
        <v>2548261952</v>
      </c>
      <c r="I74" s="267">
        <v>3706243617</v>
      </c>
      <c r="J74" s="267">
        <v>1766295273</v>
      </c>
      <c r="K74" s="267">
        <v>3339359580</v>
      </c>
      <c r="L74" s="267">
        <v>3502157424</v>
      </c>
      <c r="M74" s="267">
        <f t="shared" ref="M74" si="358">SUM(M69:M72)</f>
        <v>12</v>
      </c>
      <c r="N74" s="267">
        <f>SUM(N70:N72)</f>
        <v>0</v>
      </c>
    </row>
    <row r="75" spans="1:15" ht="14.25" customHeight="1"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</row>
    <row r="76" spans="1:15" ht="14.25" customHeight="1"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 spans="1:15" ht="14.25" customHeight="1">
      <c r="A77" s="264" t="s">
        <v>106</v>
      </c>
      <c r="B77" s="264">
        <v>1</v>
      </c>
      <c r="C77" s="264">
        <v>2</v>
      </c>
      <c r="D77" s="264">
        <v>3</v>
      </c>
      <c r="E77" s="264">
        <v>4</v>
      </c>
      <c r="F77" s="264">
        <v>5</v>
      </c>
      <c r="G77" s="264">
        <v>6</v>
      </c>
      <c r="H77" s="264">
        <v>7</v>
      </c>
      <c r="I77" s="264">
        <v>8</v>
      </c>
      <c r="J77" s="264">
        <v>9</v>
      </c>
      <c r="K77" s="264">
        <v>10</v>
      </c>
      <c r="L77" s="264">
        <v>11</v>
      </c>
      <c r="M77" s="264">
        <v>12</v>
      </c>
    </row>
    <row r="78" spans="1:15" ht="14.25" customHeight="1">
      <c r="A78" s="123" t="s">
        <v>7</v>
      </c>
      <c r="B78" s="275">
        <f>B44/10^6</f>
        <v>7201.4571020000003</v>
      </c>
      <c r="C78" s="275">
        <f t="shared" ref="C78:L78" si="359">C44/10^6</f>
        <v>6988.3293990000002</v>
      </c>
      <c r="D78" s="275">
        <f t="shared" si="359"/>
        <v>12002.117506000001</v>
      </c>
      <c r="E78" s="275">
        <f t="shared" si="359"/>
        <v>10093.572063</v>
      </c>
      <c r="F78" s="275">
        <f t="shared" si="359"/>
        <v>7772.8728730000003</v>
      </c>
      <c r="G78" s="275">
        <f t="shared" si="359"/>
        <v>7482.6004139999995</v>
      </c>
      <c r="H78" s="275">
        <f t="shared" si="359"/>
        <v>7274.7586060000003</v>
      </c>
      <c r="I78" s="275">
        <f t="shared" si="359"/>
        <v>7931.216351</v>
      </c>
      <c r="J78" s="275">
        <f t="shared" si="359"/>
        <v>6644.7049200000001</v>
      </c>
      <c r="K78" s="275">
        <f t="shared" si="359"/>
        <v>7186.6344209999997</v>
      </c>
      <c r="L78" s="275">
        <f t="shared" si="359"/>
        <v>6592.6197929999998</v>
      </c>
      <c r="M78" s="275">
        <f t="shared" ref="M78" si="360">M44/10^6</f>
        <v>5937.3779949999998</v>
      </c>
    </row>
    <row r="79" spans="1:15" ht="14.25" customHeight="1">
      <c r="A79" s="123" t="s">
        <v>5</v>
      </c>
      <c r="B79" s="275">
        <f t="shared" ref="B79:L79" si="361">B45/10^6</f>
        <v>1898.384419</v>
      </c>
      <c r="C79" s="275">
        <f t="shared" si="361"/>
        <v>1085.75667</v>
      </c>
      <c r="D79" s="275">
        <f t="shared" si="361"/>
        <v>1683.815818</v>
      </c>
      <c r="E79" s="275">
        <f t="shared" si="361"/>
        <v>1534.7167139999999</v>
      </c>
      <c r="F79" s="275">
        <f t="shared" si="361"/>
        <v>1643.6240250000001</v>
      </c>
      <c r="G79" s="275">
        <f t="shared" si="361"/>
        <v>1840.3747229999999</v>
      </c>
      <c r="H79" s="275">
        <f t="shared" si="361"/>
        <v>2660.9418230000001</v>
      </c>
      <c r="I79" s="275">
        <f t="shared" si="361"/>
        <v>3246.0091160000002</v>
      </c>
      <c r="J79" s="275">
        <f t="shared" si="361"/>
        <v>2507.767664</v>
      </c>
      <c r="K79" s="275">
        <f t="shared" si="361"/>
        <v>3041.5327630000002</v>
      </c>
      <c r="L79" s="275">
        <f t="shared" si="361"/>
        <v>3560.810309</v>
      </c>
      <c r="M79" s="275">
        <f t="shared" ref="M79" si="362">M45/10^6</f>
        <v>3506.5801280000001</v>
      </c>
    </row>
    <row r="80" spans="1:15" ht="14.25" customHeight="1">
      <c r="A80" s="123" t="s">
        <v>8</v>
      </c>
      <c r="B80" s="275">
        <f t="shared" ref="B80:L80" si="363">B46/10^6</f>
        <v>2625.1207709999999</v>
      </c>
      <c r="C80" s="275">
        <f t="shared" si="363"/>
        <v>2017.7626849999999</v>
      </c>
      <c r="D80" s="275">
        <f t="shared" si="363"/>
        <v>4948.1315869999999</v>
      </c>
      <c r="E80" s="275">
        <f t="shared" si="363"/>
        <v>4153.2581460000001</v>
      </c>
      <c r="F80" s="275">
        <f t="shared" si="363"/>
        <v>4477.7443000000003</v>
      </c>
      <c r="G80" s="275">
        <f t="shared" si="363"/>
        <v>4367.9649410000002</v>
      </c>
      <c r="H80" s="275">
        <f t="shared" si="363"/>
        <v>5285.2556409999997</v>
      </c>
      <c r="I80" s="275">
        <f t="shared" si="363"/>
        <v>3997.1135169999998</v>
      </c>
      <c r="J80" s="275">
        <f t="shared" si="363"/>
        <v>4436.2876619999997</v>
      </c>
      <c r="K80" s="275">
        <f t="shared" si="363"/>
        <v>5795.0092940000004</v>
      </c>
      <c r="L80" s="275">
        <f t="shared" si="363"/>
        <v>6489.4885160000003</v>
      </c>
      <c r="M80" s="275">
        <f t="shared" ref="M80" si="364">M46/10^6</f>
        <v>6636.5713390000001</v>
      </c>
    </row>
    <row r="81" spans="1:13" ht="14.25" customHeight="1">
      <c r="A81" s="123" t="s">
        <v>100</v>
      </c>
      <c r="B81" s="275">
        <f t="shared" ref="B81:L81" si="365">B47/10^6</f>
        <v>589.25</v>
      </c>
      <c r="C81" s="275">
        <f t="shared" si="365"/>
        <v>1040</v>
      </c>
      <c r="D81" s="275">
        <f t="shared" si="365"/>
        <v>1020</v>
      </c>
      <c r="E81" s="275">
        <f t="shared" si="365"/>
        <v>934.63</v>
      </c>
      <c r="F81" s="275">
        <f t="shared" si="365"/>
        <v>719.59</v>
      </c>
      <c r="G81" s="275">
        <f t="shared" si="365"/>
        <v>1190</v>
      </c>
      <c r="H81" s="275">
        <f t="shared" si="365"/>
        <v>990.21</v>
      </c>
      <c r="I81" s="275">
        <f t="shared" si="365"/>
        <v>920.78</v>
      </c>
      <c r="J81" s="275">
        <f t="shared" si="365"/>
        <v>506.24</v>
      </c>
      <c r="K81" s="275">
        <f t="shared" si="365"/>
        <v>918.55</v>
      </c>
      <c r="L81" s="275">
        <f t="shared" si="365"/>
        <v>735.85</v>
      </c>
      <c r="M81" s="275">
        <f t="shared" ref="M81" si="366">M47/10^6</f>
        <v>681</v>
      </c>
    </row>
    <row r="82" spans="1:13" ht="14.25" customHeight="1">
      <c r="A82" s="266" t="s">
        <v>107</v>
      </c>
      <c r="B82" s="275">
        <f t="shared" ref="B82:L82" si="367">B48/10^6</f>
        <v>11724.962292</v>
      </c>
      <c r="C82" s="275">
        <f t="shared" si="367"/>
        <v>10091.848754000001</v>
      </c>
      <c r="D82" s="275">
        <f t="shared" si="367"/>
        <v>18634.064911000001</v>
      </c>
      <c r="E82" s="275">
        <f t="shared" si="367"/>
        <v>15781.546923</v>
      </c>
      <c r="F82" s="275">
        <f t="shared" si="367"/>
        <v>13894.241198</v>
      </c>
      <c r="G82" s="275">
        <f t="shared" si="367"/>
        <v>13690.940078</v>
      </c>
      <c r="H82" s="275">
        <f t="shared" si="367"/>
        <v>15220.95607</v>
      </c>
      <c r="I82" s="275">
        <f t="shared" si="367"/>
        <v>15174.338984</v>
      </c>
      <c r="J82" s="275">
        <f t="shared" si="367"/>
        <v>13588.760246</v>
      </c>
      <c r="K82" s="275">
        <f t="shared" si="367"/>
        <v>16023.176477999999</v>
      </c>
      <c r="L82" s="275">
        <f t="shared" si="367"/>
        <v>16642.918618</v>
      </c>
      <c r="M82" s="275">
        <f t="shared" ref="M82" si="368">M48/10^6</f>
        <v>16080.529462</v>
      </c>
    </row>
    <row r="83" spans="1:13" ht="14.25" customHeight="1">
      <c r="C83" s="38"/>
      <c r="D83" s="38"/>
      <c r="E83" s="38"/>
      <c r="F83" s="38"/>
      <c r="G83" s="38"/>
      <c r="H83" s="38"/>
      <c r="I83" s="38"/>
      <c r="J83" s="38"/>
      <c r="K83" s="38"/>
      <c r="L83" s="38"/>
    </row>
    <row r="84" spans="1:13" ht="14.25" customHeight="1">
      <c r="C84" s="38"/>
      <c r="D84" s="38"/>
      <c r="E84" s="38"/>
      <c r="F84" s="38"/>
      <c r="G84" s="38"/>
      <c r="H84" s="38"/>
      <c r="I84" s="38"/>
      <c r="J84" s="38"/>
      <c r="K84" s="38"/>
      <c r="L84" s="38"/>
    </row>
    <row r="85" spans="1:13" ht="14.25" customHeight="1">
      <c r="A85" s="264" t="s">
        <v>41</v>
      </c>
      <c r="B85" s="264">
        <v>1</v>
      </c>
      <c r="C85" s="264">
        <v>2</v>
      </c>
      <c r="D85" s="264">
        <v>3</v>
      </c>
      <c r="E85" s="264">
        <v>4</v>
      </c>
      <c r="F85" s="264">
        <v>5</v>
      </c>
      <c r="G85" s="264">
        <v>6</v>
      </c>
      <c r="H85" s="264">
        <v>7</v>
      </c>
      <c r="I85" s="264">
        <v>8</v>
      </c>
      <c r="J85" s="264">
        <v>9</v>
      </c>
      <c r="K85" s="264">
        <v>10</v>
      </c>
      <c r="L85" s="264">
        <v>11</v>
      </c>
      <c r="M85" s="264">
        <v>12</v>
      </c>
    </row>
    <row r="86" spans="1:13" ht="14.25" customHeight="1">
      <c r="A86" s="123" t="s">
        <v>7</v>
      </c>
      <c r="B86" s="275">
        <f t="shared" ref="B86:L86" si="369">B52/10^6</f>
        <v>3583.59</v>
      </c>
      <c r="C86" s="275">
        <f t="shared" si="369"/>
        <v>5861.97</v>
      </c>
      <c r="D86" s="275">
        <f t="shared" si="369"/>
        <v>6428.77</v>
      </c>
      <c r="E86" s="275">
        <f t="shared" si="369"/>
        <v>5144.07</v>
      </c>
      <c r="F86" s="275">
        <f t="shared" si="369"/>
        <v>6257.39</v>
      </c>
      <c r="G86" s="275">
        <f t="shared" si="369"/>
        <v>7163.31</v>
      </c>
      <c r="H86" s="275">
        <f t="shared" si="369"/>
        <v>6231.62</v>
      </c>
      <c r="I86" s="275">
        <f t="shared" si="369"/>
        <v>6042.64</v>
      </c>
      <c r="J86" s="275">
        <f t="shared" si="369"/>
        <v>4879.7120000000004</v>
      </c>
      <c r="K86" s="275">
        <f t="shared" si="369"/>
        <v>5377.991</v>
      </c>
      <c r="L86" s="275">
        <f t="shared" si="369"/>
        <v>7021.94</v>
      </c>
      <c r="M86" s="275">
        <f t="shared" ref="M86:N86" si="370">M52/10^6</f>
        <v>5376.1419999999998</v>
      </c>
    </row>
    <row r="87" spans="1:13" ht="14.25" customHeight="1">
      <c r="A87" s="123" t="s">
        <v>5</v>
      </c>
      <c r="B87" s="275">
        <f>B53/10^6</f>
        <v>3926.29</v>
      </c>
      <c r="C87" s="275">
        <f t="shared" ref="B87:L88" si="371">C53/10^6</f>
        <v>3322.69</v>
      </c>
      <c r="D87" s="275">
        <f t="shared" si="371"/>
        <v>5395.7481019999996</v>
      </c>
      <c r="E87" s="275">
        <f t="shared" si="371"/>
        <v>4775.8930979999996</v>
      </c>
      <c r="F87" s="275">
        <f t="shared" si="371"/>
        <v>5487.9514939999999</v>
      </c>
      <c r="G87" s="275">
        <f t="shared" si="371"/>
        <v>4656.5916939999997</v>
      </c>
      <c r="H87" s="275">
        <f t="shared" si="371"/>
        <v>5257.0332010000002</v>
      </c>
      <c r="I87" s="275">
        <f t="shared" si="371"/>
        <v>4768.7226199999996</v>
      </c>
      <c r="J87" s="275">
        <f t="shared" si="371"/>
        <v>5752.881214</v>
      </c>
      <c r="K87" s="275">
        <f t="shared" si="371"/>
        <v>6658.1490670000003</v>
      </c>
      <c r="L87" s="275">
        <f t="shared" si="371"/>
        <v>5713.3946720000004</v>
      </c>
      <c r="M87" s="275">
        <f t="shared" ref="M87:N88" si="372">M53/10^6</f>
        <v>5777.5934379999999</v>
      </c>
    </row>
    <row r="88" spans="1:13" ht="14.25" customHeight="1">
      <c r="A88" s="123" t="s">
        <v>9</v>
      </c>
      <c r="B88" s="275">
        <f t="shared" ref="B88:J88" si="373">B54/10^6</f>
        <v>241.79284200000001</v>
      </c>
      <c r="C88" s="275">
        <f t="shared" si="373"/>
        <v>203.15166600000001</v>
      </c>
      <c r="D88" s="275">
        <f t="shared" si="373"/>
        <v>790.527061</v>
      </c>
      <c r="E88" s="275">
        <f t="shared" si="373"/>
        <v>170.51223200000001</v>
      </c>
      <c r="F88" s="275">
        <f t="shared" si="373"/>
        <v>266.09627399999999</v>
      </c>
      <c r="G88" s="275">
        <f t="shared" si="373"/>
        <v>169.45879099999999</v>
      </c>
      <c r="H88" s="275">
        <f t="shared" si="373"/>
        <v>134.01352299999999</v>
      </c>
      <c r="I88" s="275">
        <f t="shared" si="373"/>
        <v>109.80638</v>
      </c>
      <c r="J88" s="275">
        <f t="shared" si="373"/>
        <v>19.108637000000002</v>
      </c>
      <c r="K88" s="275">
        <f t="shared" si="371"/>
        <v>427.19659200000001</v>
      </c>
      <c r="L88" s="275">
        <f t="shared" si="371"/>
        <v>1021.8695269999999</v>
      </c>
      <c r="M88" s="275">
        <f t="shared" si="372"/>
        <v>468.23483299999998</v>
      </c>
    </row>
    <row r="89" spans="1:13" ht="14.25" customHeight="1">
      <c r="A89" s="123" t="s">
        <v>8</v>
      </c>
      <c r="B89" s="275">
        <f t="shared" ref="B89:L89" si="374">B55/10^6</f>
        <v>5267.3138829999998</v>
      </c>
      <c r="C89" s="275">
        <f t="shared" si="374"/>
        <v>4363.9606839999997</v>
      </c>
      <c r="D89" s="275">
        <f t="shared" si="374"/>
        <v>5855.7549449999997</v>
      </c>
      <c r="E89" s="275">
        <f t="shared" si="374"/>
        <v>5781.529614</v>
      </c>
      <c r="F89" s="275">
        <f t="shared" si="374"/>
        <v>7732.8056889999998</v>
      </c>
      <c r="G89" s="275">
        <f t="shared" si="374"/>
        <v>7156.2030199999999</v>
      </c>
      <c r="H89" s="275">
        <f t="shared" si="374"/>
        <v>5210.5714889999999</v>
      </c>
      <c r="I89" s="275">
        <f t="shared" si="374"/>
        <v>6963.9911060000004</v>
      </c>
      <c r="J89" s="275">
        <f t="shared" si="374"/>
        <v>4405.1757360000001</v>
      </c>
      <c r="K89" s="275">
        <f t="shared" si="374"/>
        <v>7278.3477830000002</v>
      </c>
      <c r="L89" s="275">
        <f t="shared" si="374"/>
        <v>8275.6985519999998</v>
      </c>
      <c r="M89" s="275">
        <f t="shared" ref="M89:N89" si="375">M55/10^6</f>
        <v>5494.0756979999996</v>
      </c>
    </row>
    <row r="90" spans="1:13" ht="14.25" customHeight="1">
      <c r="A90" s="123" t="s">
        <v>100</v>
      </c>
      <c r="B90" s="275">
        <f t="shared" ref="B90:L90" si="376">B56/10^6</f>
        <v>0</v>
      </c>
      <c r="C90" s="275">
        <f t="shared" si="376"/>
        <v>0</v>
      </c>
      <c r="D90" s="275">
        <f t="shared" si="376"/>
        <v>0</v>
      </c>
      <c r="E90" s="275">
        <f t="shared" si="376"/>
        <v>373.7</v>
      </c>
      <c r="F90" s="275">
        <f t="shared" si="376"/>
        <v>557.20000000000005</v>
      </c>
      <c r="G90" s="275">
        <f t="shared" si="376"/>
        <v>642.29999999999995</v>
      </c>
      <c r="H90" s="275">
        <f t="shared" si="376"/>
        <v>868.2</v>
      </c>
      <c r="I90" s="275">
        <f t="shared" si="376"/>
        <v>649.5</v>
      </c>
      <c r="J90" s="275">
        <f t="shared" si="376"/>
        <v>347.7</v>
      </c>
      <c r="K90" s="275">
        <f t="shared" si="376"/>
        <v>196.6</v>
      </c>
      <c r="L90" s="275">
        <f t="shared" si="376"/>
        <v>397.7</v>
      </c>
      <c r="M90" s="275">
        <f t="shared" ref="M90:N90" si="377">M56/10^6</f>
        <v>301</v>
      </c>
    </row>
    <row r="91" spans="1:13" ht="14.25" customHeight="1">
      <c r="A91" s="123" t="s">
        <v>6</v>
      </c>
      <c r="B91" s="275">
        <f>B57/10^6</f>
        <v>1428.8</v>
      </c>
      <c r="C91" s="275">
        <f t="shared" ref="B91:L91" si="378">C57/10^6</f>
        <v>2384.212</v>
      </c>
      <c r="D91" s="275">
        <f t="shared" si="378"/>
        <v>2773.63</v>
      </c>
      <c r="E91" s="275">
        <f t="shared" si="378"/>
        <v>2019.82</v>
      </c>
      <c r="F91" s="275">
        <f t="shared" si="378"/>
        <v>2227.2377289999999</v>
      </c>
      <c r="G91" s="275">
        <f t="shared" si="378"/>
        <v>2193.4755</v>
      </c>
      <c r="H91" s="275">
        <f t="shared" si="378"/>
        <v>2454.4730140000001</v>
      </c>
      <c r="I91" s="275">
        <f t="shared" si="378"/>
        <v>2538.1235339999998</v>
      </c>
      <c r="J91" s="275">
        <f t="shared" si="378"/>
        <v>2050.8516169999998</v>
      </c>
      <c r="K91" s="275">
        <f t="shared" si="378"/>
        <v>1931.492262</v>
      </c>
      <c r="L91" s="275">
        <f t="shared" si="378"/>
        <v>1334.1070119999999</v>
      </c>
      <c r="M91" s="275">
        <f t="shared" ref="M91:N91" si="379">M57/10^6</f>
        <v>1521.0934689999999</v>
      </c>
    </row>
    <row r="92" spans="1:13" ht="14.25" customHeight="1">
      <c r="A92" s="266" t="s">
        <v>107</v>
      </c>
      <c r="B92" s="275">
        <f t="shared" ref="B92:L92" si="380">B58/10^6</f>
        <v>13018.986725000001</v>
      </c>
      <c r="C92" s="275">
        <f t="shared" si="380"/>
        <v>13751.772349999999</v>
      </c>
      <c r="D92" s="275">
        <f t="shared" si="380"/>
        <v>18470.800107999999</v>
      </c>
      <c r="E92" s="275">
        <f t="shared" si="380"/>
        <v>15872.004944</v>
      </c>
      <c r="F92" s="275">
        <f t="shared" si="380"/>
        <v>19744.243457</v>
      </c>
      <c r="G92" s="275">
        <f t="shared" si="380"/>
        <v>19145.563504999998</v>
      </c>
      <c r="H92" s="275">
        <f t="shared" si="380"/>
        <v>16833.238213000001</v>
      </c>
      <c r="I92" s="275">
        <f t="shared" si="380"/>
        <v>17885.160105999999</v>
      </c>
      <c r="J92" s="275">
        <f t="shared" si="380"/>
        <v>15056.877587000001</v>
      </c>
      <c r="K92" s="275">
        <f t="shared" si="380"/>
        <v>19741.684442000002</v>
      </c>
      <c r="L92" s="275">
        <f t="shared" si="380"/>
        <v>22032.902751000001</v>
      </c>
      <c r="M92" s="275">
        <f t="shared" ref="M92:N92" si="381">M58/10^6</f>
        <v>17116.045968999999</v>
      </c>
    </row>
    <row r="93" spans="1:13" ht="14.25" customHeight="1">
      <c r="C93" s="38"/>
      <c r="D93" s="38"/>
      <c r="E93" s="38"/>
      <c r="F93" s="38"/>
      <c r="G93" s="38"/>
      <c r="H93" s="38"/>
      <c r="I93" s="38"/>
      <c r="J93" s="38"/>
      <c r="K93" s="38"/>
      <c r="L93" s="38"/>
    </row>
    <row r="94" spans="1:13" ht="14.25" customHeight="1">
      <c r="C94" s="38"/>
      <c r="D94" s="38"/>
      <c r="E94" s="38"/>
      <c r="F94" s="38"/>
      <c r="G94" s="38"/>
      <c r="H94" s="38"/>
      <c r="I94" s="38"/>
      <c r="J94" s="38"/>
      <c r="K94" s="38"/>
      <c r="L94" s="38"/>
    </row>
    <row r="95" spans="1:13" ht="14.25" customHeight="1"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pans="1:13" ht="14.25" customHeight="1">
      <c r="A96" s="264" t="s">
        <v>39</v>
      </c>
      <c r="B96" s="264">
        <v>1</v>
      </c>
      <c r="C96" s="264">
        <v>2</v>
      </c>
      <c r="D96" s="264">
        <v>3</v>
      </c>
      <c r="E96" s="264">
        <v>4</v>
      </c>
      <c r="F96" s="264">
        <v>5</v>
      </c>
      <c r="G96" s="264">
        <v>6</v>
      </c>
      <c r="H96" s="264">
        <v>7</v>
      </c>
      <c r="I96" s="264">
        <v>8</v>
      </c>
      <c r="J96" s="264">
        <v>9</v>
      </c>
      <c r="K96" s="264">
        <v>10</v>
      </c>
      <c r="L96" s="264">
        <v>11</v>
      </c>
      <c r="M96" s="264">
        <v>12</v>
      </c>
    </row>
    <row r="97" spans="1:13" ht="14.25" customHeight="1">
      <c r="A97" s="123" t="s">
        <v>7</v>
      </c>
      <c r="B97" s="275">
        <f t="shared" ref="B97:L97" si="382">B63/10^6</f>
        <v>961.70349999999996</v>
      </c>
      <c r="C97" s="275">
        <f t="shared" si="382"/>
        <v>807.58010000000002</v>
      </c>
      <c r="D97" s="275">
        <f t="shared" si="382"/>
        <v>2554.8856999999998</v>
      </c>
      <c r="E97" s="275">
        <f t="shared" si="382"/>
        <v>5404.0663500000001</v>
      </c>
      <c r="F97" s="275">
        <f t="shared" si="382"/>
        <v>6348.5458699999999</v>
      </c>
      <c r="G97" s="275">
        <f t="shared" si="382"/>
        <v>4193.0648279999996</v>
      </c>
      <c r="H97" s="275">
        <f t="shared" si="382"/>
        <v>2992.0310500000001</v>
      </c>
      <c r="I97" s="275">
        <f t="shared" si="382"/>
        <v>5438.4701699999996</v>
      </c>
      <c r="J97" s="275">
        <f t="shared" si="382"/>
        <v>2772.3829850000002</v>
      </c>
      <c r="K97" s="275">
        <f t="shared" si="382"/>
        <v>6309.8161449999998</v>
      </c>
      <c r="L97" s="275">
        <f t="shared" si="382"/>
        <v>3618.5310500000001</v>
      </c>
      <c r="M97" s="275">
        <f t="shared" ref="M97" si="383">M63/10^6</f>
        <v>2147.39995</v>
      </c>
    </row>
    <row r="98" spans="1:13" ht="14.25" customHeight="1">
      <c r="A98" s="123" t="s">
        <v>5</v>
      </c>
      <c r="B98" s="275">
        <f t="shared" ref="B98:L99" si="384">B64/10^6</f>
        <v>133.05699999999999</v>
      </c>
      <c r="C98" s="275">
        <f t="shared" si="384"/>
        <v>1694.6349</v>
      </c>
      <c r="D98" s="275">
        <f t="shared" si="384"/>
        <v>680.33299999999997</v>
      </c>
      <c r="E98" s="275">
        <f t="shared" si="384"/>
        <v>179.13159999999999</v>
      </c>
      <c r="F98" s="275">
        <f t="shared" si="384"/>
        <v>904.98911099999998</v>
      </c>
      <c r="G98" s="275">
        <f t="shared" si="384"/>
        <v>810.577</v>
      </c>
      <c r="H98" s="275">
        <f t="shared" si="384"/>
        <v>947.78300000000002</v>
      </c>
      <c r="I98" s="275">
        <f t="shared" si="384"/>
        <v>587.76400000000001</v>
      </c>
      <c r="J98" s="275">
        <f t="shared" si="384"/>
        <v>856.42100000000005</v>
      </c>
      <c r="K98" s="275">
        <f t="shared" si="384"/>
        <v>1719.0652</v>
      </c>
      <c r="L98" s="275">
        <f t="shared" si="384"/>
        <v>1817.23</v>
      </c>
      <c r="M98" s="275">
        <f t="shared" ref="M98:M99" si="385">M64/10^6</f>
        <v>1500.6289999999999</v>
      </c>
    </row>
    <row r="99" spans="1:13" ht="14.25" customHeight="1">
      <c r="A99" s="123" t="s">
        <v>8</v>
      </c>
      <c r="B99" s="275">
        <f t="shared" si="384"/>
        <v>0</v>
      </c>
      <c r="C99" s="275">
        <f t="shared" si="384"/>
        <v>0</v>
      </c>
      <c r="D99" s="275">
        <f t="shared" si="384"/>
        <v>0</v>
      </c>
      <c r="E99" s="275">
        <f t="shared" si="384"/>
        <v>82.8</v>
      </c>
      <c r="F99" s="275">
        <f t="shared" si="384"/>
        <v>0</v>
      </c>
      <c r="G99" s="275">
        <f t="shared" si="384"/>
        <v>0</v>
      </c>
      <c r="H99" s="275">
        <f t="shared" si="384"/>
        <v>0</v>
      </c>
      <c r="I99" s="275">
        <f t="shared" si="384"/>
        <v>350.767</v>
      </c>
      <c r="J99" s="275">
        <f t="shared" si="384"/>
        <v>132.072</v>
      </c>
      <c r="K99" s="275">
        <f t="shared" si="384"/>
        <v>27.52</v>
      </c>
      <c r="L99" s="275">
        <f t="shared" si="384"/>
        <v>0</v>
      </c>
      <c r="M99" s="275">
        <f t="shared" si="385"/>
        <v>0</v>
      </c>
    </row>
    <row r="100" spans="1:13" ht="14.25" customHeight="1">
      <c r="A100" s="266" t="s">
        <v>107</v>
      </c>
      <c r="B100" s="275">
        <f>B67/10^6</f>
        <v>1094.760501</v>
      </c>
      <c r="C100" s="275">
        <f>C67/10^6</f>
        <v>2502.2150019999999</v>
      </c>
      <c r="D100" s="275">
        <f>D67/10^6</f>
        <v>3235.218703</v>
      </c>
      <c r="E100" s="275">
        <f>E67/10^6</f>
        <v>5583.1979540000002</v>
      </c>
      <c r="F100" s="275">
        <f>F67/10^6</f>
        <v>7253.5349859999997</v>
      </c>
      <c r="G100" s="275">
        <f>G67/10^6</f>
        <v>5003.641834</v>
      </c>
      <c r="H100" s="275">
        <f>H67/10^6</f>
        <v>3939.814057</v>
      </c>
      <c r="I100" s="275">
        <f>I67/10^6</f>
        <v>6026.2341779999997</v>
      </c>
      <c r="J100" s="275">
        <f>J67/10^6</f>
        <v>3628.8039939999999</v>
      </c>
      <c r="K100" s="275">
        <f>K67/10^6</f>
        <v>8028.8813550000004</v>
      </c>
      <c r="L100" s="275">
        <f>L67/10^6</f>
        <v>5435.7610610000002</v>
      </c>
      <c r="M100" s="275">
        <f>M67/10^6</f>
        <v>3648.0289619999999</v>
      </c>
    </row>
    <row r="101" spans="1:13" ht="14.25" customHeight="1">
      <c r="C101" s="38"/>
      <c r="D101" s="38"/>
      <c r="E101" s="38"/>
      <c r="F101" s="38"/>
      <c r="G101" s="38"/>
      <c r="H101" s="38"/>
      <c r="I101" s="38"/>
      <c r="J101" s="38"/>
      <c r="K101" s="38"/>
      <c r="L101" s="38"/>
    </row>
    <row r="102" spans="1:13" ht="14.25" customHeight="1"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 spans="1:13" ht="14.25" customHeight="1">
      <c r="C103" s="38"/>
      <c r="D103" s="38"/>
      <c r="E103" s="38"/>
      <c r="F103" s="38"/>
      <c r="G103" s="38"/>
      <c r="H103" s="38"/>
      <c r="I103" s="38"/>
      <c r="J103" s="38"/>
      <c r="K103" s="38"/>
      <c r="L103" s="38"/>
    </row>
    <row r="104" spans="1:13" ht="14.25" customHeight="1">
      <c r="A104" s="264" t="s">
        <v>43</v>
      </c>
      <c r="B104" s="264">
        <v>1</v>
      </c>
      <c r="C104" s="264">
        <v>2</v>
      </c>
      <c r="D104" s="264">
        <v>3</v>
      </c>
      <c r="E104" s="264">
        <v>4</v>
      </c>
      <c r="F104" s="264">
        <v>5</v>
      </c>
      <c r="G104" s="264">
        <v>6</v>
      </c>
      <c r="H104" s="264">
        <v>7</v>
      </c>
      <c r="I104" s="264">
        <v>8</v>
      </c>
      <c r="J104" s="264">
        <v>9</v>
      </c>
      <c r="K104" s="264">
        <v>10</v>
      </c>
      <c r="L104" s="264">
        <v>11</v>
      </c>
      <c r="M104" s="264">
        <v>12</v>
      </c>
    </row>
    <row r="105" spans="1:13" ht="14.25" customHeight="1">
      <c r="A105" s="123" t="s">
        <v>7</v>
      </c>
      <c r="B105" s="275">
        <f t="shared" ref="B105:L105" si="386">B70/10^6</f>
        <v>0</v>
      </c>
      <c r="C105" s="275">
        <f t="shared" si="386"/>
        <v>0</v>
      </c>
      <c r="D105" s="275">
        <f t="shared" si="386"/>
        <v>0</v>
      </c>
      <c r="E105" s="275">
        <f t="shared" si="386"/>
        <v>0</v>
      </c>
      <c r="F105" s="275">
        <f t="shared" si="386"/>
        <v>0</v>
      </c>
      <c r="G105" s="275">
        <f t="shared" si="386"/>
        <v>0</v>
      </c>
      <c r="H105" s="275">
        <f t="shared" si="386"/>
        <v>0</v>
      </c>
      <c r="I105" s="275">
        <f t="shared" si="386"/>
        <v>0</v>
      </c>
      <c r="J105" s="275">
        <f t="shared" si="386"/>
        <v>0</v>
      </c>
      <c r="K105" s="275">
        <f t="shared" si="386"/>
        <v>0</v>
      </c>
      <c r="L105" s="275">
        <f t="shared" si="386"/>
        <v>0</v>
      </c>
      <c r="M105" s="275">
        <f t="shared" ref="M105" si="387">M70/10^6</f>
        <v>0</v>
      </c>
    </row>
    <row r="106" spans="1:13" ht="14.25" customHeight="1">
      <c r="A106" s="123" t="s">
        <v>9</v>
      </c>
      <c r="B106" s="275">
        <f t="shared" ref="B106:L106" si="388">B71/10^6</f>
        <v>0</v>
      </c>
      <c r="C106" s="275">
        <f t="shared" si="388"/>
        <v>0</v>
      </c>
      <c r="D106" s="275">
        <f t="shared" si="388"/>
        <v>0</v>
      </c>
      <c r="E106" s="275">
        <f t="shared" si="388"/>
        <v>0</v>
      </c>
      <c r="F106" s="275">
        <f t="shared" si="388"/>
        <v>0</v>
      </c>
      <c r="G106" s="275">
        <f t="shared" si="388"/>
        <v>0</v>
      </c>
      <c r="H106" s="275">
        <f t="shared" si="388"/>
        <v>0</v>
      </c>
      <c r="I106" s="275">
        <f t="shared" si="388"/>
        <v>0</v>
      </c>
      <c r="J106" s="275">
        <f t="shared" si="388"/>
        <v>0</v>
      </c>
      <c r="K106" s="275">
        <f t="shared" si="388"/>
        <v>0</v>
      </c>
      <c r="L106" s="275">
        <f t="shared" si="388"/>
        <v>0</v>
      </c>
      <c r="M106" s="275">
        <f t="shared" ref="M106" si="389">M71/10^6</f>
        <v>0</v>
      </c>
    </row>
    <row r="107" spans="1:13" ht="14.25" customHeight="1">
      <c r="A107" s="123" t="s">
        <v>8</v>
      </c>
      <c r="B107" s="275">
        <f t="shared" ref="B107:L107" si="390">B72/10^6</f>
        <v>0</v>
      </c>
      <c r="C107" s="275">
        <f t="shared" si="390"/>
        <v>0</v>
      </c>
      <c r="D107" s="275">
        <f t="shared" si="390"/>
        <v>0</v>
      </c>
      <c r="E107" s="275">
        <f t="shared" si="390"/>
        <v>0</v>
      </c>
      <c r="F107" s="275">
        <f t="shared" si="390"/>
        <v>0</v>
      </c>
      <c r="G107" s="275">
        <f t="shared" si="390"/>
        <v>0</v>
      </c>
      <c r="H107" s="275">
        <f t="shared" si="390"/>
        <v>0</v>
      </c>
      <c r="I107" s="275">
        <f t="shared" si="390"/>
        <v>0</v>
      </c>
      <c r="J107" s="275">
        <f t="shared" si="390"/>
        <v>0</v>
      </c>
      <c r="K107" s="275">
        <f t="shared" si="390"/>
        <v>0</v>
      </c>
      <c r="L107" s="275">
        <f t="shared" si="390"/>
        <v>0</v>
      </c>
      <c r="M107" s="275">
        <f t="shared" ref="M107" si="391">M72/10^6</f>
        <v>0</v>
      </c>
    </row>
    <row r="108" spans="1:13" ht="14.25" customHeight="1">
      <c r="A108" s="123" t="s">
        <v>5</v>
      </c>
      <c r="B108" s="275">
        <f t="shared" ref="B108:L108" si="392">B73/10^6</f>
        <v>2276</v>
      </c>
      <c r="C108" s="275">
        <f t="shared" si="392"/>
        <v>2271</v>
      </c>
      <c r="D108" s="275">
        <f t="shared" si="392"/>
        <v>2349</v>
      </c>
      <c r="E108" s="275">
        <f t="shared" si="392"/>
        <v>2343</v>
      </c>
      <c r="F108" s="275">
        <f t="shared" si="392"/>
        <v>2498</v>
      </c>
      <c r="G108" s="275">
        <f t="shared" si="392"/>
        <v>2475</v>
      </c>
      <c r="H108" s="275">
        <f t="shared" si="392"/>
        <v>2700</v>
      </c>
      <c r="I108" s="275">
        <f t="shared" si="392"/>
        <v>2813</v>
      </c>
      <c r="J108" s="275">
        <f t="shared" si="392"/>
        <v>3060</v>
      </c>
      <c r="K108" s="275">
        <f t="shared" si="392"/>
        <v>3147</v>
      </c>
      <c r="L108" s="275">
        <f t="shared" si="392"/>
        <v>2836</v>
      </c>
      <c r="M108" s="275">
        <f t="shared" ref="M108" si="393">M73/10^6</f>
        <v>2988</v>
      </c>
    </row>
    <row r="109" spans="1:13" ht="14.25" customHeight="1">
      <c r="A109" s="266" t="s">
        <v>107</v>
      </c>
      <c r="B109" s="275">
        <f t="shared" ref="B109:L109" si="394">B74/10^6</f>
        <v>2863.5206539999999</v>
      </c>
      <c r="C109" s="275">
        <f t="shared" si="394"/>
        <v>1525.5732399999999</v>
      </c>
      <c r="D109" s="275">
        <f t="shared" si="394"/>
        <v>2605.3811059999998</v>
      </c>
      <c r="E109" s="275">
        <f t="shared" si="394"/>
        <v>2018.3196929999999</v>
      </c>
      <c r="F109" s="275">
        <f t="shared" si="394"/>
        <v>4628.7582480000001</v>
      </c>
      <c r="G109" s="275">
        <f t="shared" si="394"/>
        <v>3718.9619619999999</v>
      </c>
      <c r="H109" s="275">
        <f t="shared" si="394"/>
        <v>2548.2619519999998</v>
      </c>
      <c r="I109" s="275">
        <f t="shared" si="394"/>
        <v>3706.2436170000001</v>
      </c>
      <c r="J109" s="275">
        <f t="shared" si="394"/>
        <v>1766.295273</v>
      </c>
      <c r="K109" s="275">
        <f t="shared" si="394"/>
        <v>3339.3595799999998</v>
      </c>
      <c r="L109" s="275">
        <f t="shared" si="394"/>
        <v>3502.157424</v>
      </c>
      <c r="M109" s="275">
        <f t="shared" ref="M109" si="395">M74/10^6</f>
        <v>1.2E-5</v>
      </c>
    </row>
    <row r="112" spans="1:13" ht="14.25" customHeight="1"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</row>
  </sheetData>
  <mergeCells count="98">
    <mergeCell ref="BO34:BQ34"/>
    <mergeCell ref="BO35:BO38"/>
    <mergeCell ref="BP35:BP36"/>
    <mergeCell ref="BP37:BP38"/>
    <mergeCell ref="BO39:BQ39"/>
    <mergeCell ref="BO25:BO28"/>
    <mergeCell ref="BP25:BP26"/>
    <mergeCell ref="BP27:BP28"/>
    <mergeCell ref="BO29:BQ29"/>
    <mergeCell ref="BO30:BO33"/>
    <mergeCell ref="BP30:BP31"/>
    <mergeCell ref="BP32:BP33"/>
    <mergeCell ref="BO19:BQ19"/>
    <mergeCell ref="BO20:BO23"/>
    <mergeCell ref="BP20:BP21"/>
    <mergeCell ref="BP22:BP23"/>
    <mergeCell ref="BO24:BQ24"/>
    <mergeCell ref="BO9:BO13"/>
    <mergeCell ref="BP9:BP11"/>
    <mergeCell ref="BP12:BP13"/>
    <mergeCell ref="BO14:BQ14"/>
    <mergeCell ref="BO15:BO18"/>
    <mergeCell ref="BP15:BP16"/>
    <mergeCell ref="BP17:BP18"/>
    <mergeCell ref="DQ1:DS1"/>
    <mergeCell ref="BO3:BO7"/>
    <mergeCell ref="BP3:BP5"/>
    <mergeCell ref="BP6:BP7"/>
    <mergeCell ref="BO8:BQ8"/>
    <mergeCell ref="DB1:DD1"/>
    <mergeCell ref="DE1:DG1"/>
    <mergeCell ref="DH1:DJ1"/>
    <mergeCell ref="DK1:DM1"/>
    <mergeCell ref="DN1:DP1"/>
    <mergeCell ref="CM1:CO1"/>
    <mergeCell ref="CP1:CR1"/>
    <mergeCell ref="CS1:CU1"/>
    <mergeCell ref="CV1:CX1"/>
    <mergeCell ref="CY1:DA1"/>
    <mergeCell ref="BX1:BZ1"/>
    <mergeCell ref="CA1:CC1"/>
    <mergeCell ref="CD1:CF1"/>
    <mergeCell ref="CG1:CI1"/>
    <mergeCell ref="CJ1:CL1"/>
    <mergeCell ref="BO1:BO2"/>
    <mergeCell ref="BP1:BP2"/>
    <mergeCell ref="BQ1:BQ2"/>
    <mergeCell ref="BR1:BT1"/>
    <mergeCell ref="BU1:BW1"/>
    <mergeCell ref="B27:B28"/>
    <mergeCell ref="AE1:AG1"/>
    <mergeCell ref="A14:C14"/>
    <mergeCell ref="A19:C19"/>
    <mergeCell ref="A39:C39"/>
    <mergeCell ref="A29:C29"/>
    <mergeCell ref="A30:A33"/>
    <mergeCell ref="B30:B31"/>
    <mergeCell ref="B32:B33"/>
    <mergeCell ref="A34:C34"/>
    <mergeCell ref="A35:A38"/>
    <mergeCell ref="B35:B36"/>
    <mergeCell ref="B37:B38"/>
    <mergeCell ref="B22:B23"/>
    <mergeCell ref="A24:C24"/>
    <mergeCell ref="A25:A28"/>
    <mergeCell ref="B25:B26"/>
    <mergeCell ref="AW1:AY1"/>
    <mergeCell ref="AZ1:BB1"/>
    <mergeCell ref="AK1:AM1"/>
    <mergeCell ref="B20:B21"/>
    <mergeCell ref="AN1:AP1"/>
    <mergeCell ref="AQ1:AS1"/>
    <mergeCell ref="AT1:AV1"/>
    <mergeCell ref="A20:A23"/>
    <mergeCell ref="AH1:AJ1"/>
    <mergeCell ref="G1:I1"/>
    <mergeCell ref="J1:L1"/>
    <mergeCell ref="A8:C8"/>
    <mergeCell ref="A9:A13"/>
    <mergeCell ref="B9:B11"/>
    <mergeCell ref="B12:B13"/>
    <mergeCell ref="D1:F1"/>
    <mergeCell ref="A15:A18"/>
    <mergeCell ref="B15:B16"/>
    <mergeCell ref="B17:B18"/>
    <mergeCell ref="BC1:BE1"/>
    <mergeCell ref="A3:A7"/>
    <mergeCell ref="B3:B5"/>
    <mergeCell ref="B6:B7"/>
    <mergeCell ref="M1:O1"/>
    <mergeCell ref="P1:R1"/>
    <mergeCell ref="S1:U1"/>
    <mergeCell ref="V1:X1"/>
    <mergeCell ref="Y1:AA1"/>
    <mergeCell ref="AB1:AD1"/>
    <mergeCell ref="A1:A2"/>
    <mergeCell ref="B1:B2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CD7B-DFAD-4957-B15C-9BFE85CB6FD0}">
  <dimension ref="A1:Z67"/>
  <sheetViews>
    <sheetView topLeftCell="A21" workbookViewId="0">
      <selection activeCell="AC14" sqref="AC14"/>
    </sheetView>
  </sheetViews>
  <sheetFormatPr defaultRowHeight="14.25" customHeight="1"/>
  <cols>
    <col min="1" max="1" width="8.375" style="47" customWidth="1"/>
    <col min="2" max="2" width="7.5" style="47" customWidth="1"/>
    <col min="3" max="3" width="8.5" customWidth="1"/>
    <col min="4" max="4" width="10.625" customWidth="1"/>
    <col min="5" max="5" width="7.25" customWidth="1"/>
    <col min="6" max="6" width="8.125" customWidth="1"/>
    <col min="7" max="7" width="7.875" style="46" customWidth="1"/>
    <col min="8" max="8" width="7.625" style="46" customWidth="1"/>
    <col min="9" max="10" width="7.375" style="46" customWidth="1"/>
    <col min="11" max="11" width="7.875" style="46" customWidth="1"/>
    <col min="12" max="12" width="8.375" style="46" customWidth="1"/>
    <col min="13" max="14" width="8.125" style="46" customWidth="1"/>
    <col min="15" max="15" width="7.5" style="46" customWidth="1"/>
    <col min="16" max="16" width="7.625" style="46" customWidth="1"/>
    <col min="17" max="17" width="8" style="46" customWidth="1"/>
    <col min="18" max="18" width="7.875" style="46" customWidth="1"/>
    <col min="19" max="22" width="10.375" customWidth="1"/>
    <col min="23" max="30" width="11.375" bestFit="1" customWidth="1"/>
  </cols>
  <sheetData>
    <row r="1" spans="1:26" ht="30.75" customHeight="1">
      <c r="A1" s="126" t="s">
        <v>110</v>
      </c>
      <c r="B1" s="127" t="s">
        <v>0</v>
      </c>
      <c r="C1" s="126" t="s">
        <v>111</v>
      </c>
      <c r="D1" s="126" t="s">
        <v>112</v>
      </c>
      <c r="E1" s="128" t="s">
        <v>113</v>
      </c>
      <c r="F1" s="128" t="s">
        <v>114</v>
      </c>
      <c r="G1" s="52" t="s">
        <v>20</v>
      </c>
      <c r="H1" s="52" t="s">
        <v>21</v>
      </c>
      <c r="I1" s="52" t="s">
        <v>22</v>
      </c>
      <c r="J1" s="52" t="s">
        <v>23</v>
      </c>
      <c r="K1" s="52" t="s">
        <v>24</v>
      </c>
      <c r="L1" s="52" t="s">
        <v>25</v>
      </c>
      <c r="M1" s="52" t="s">
        <v>26</v>
      </c>
      <c r="N1" s="52" t="s">
        <v>27</v>
      </c>
      <c r="O1" s="52" t="s">
        <v>28</v>
      </c>
      <c r="P1" s="52" t="s">
        <v>29</v>
      </c>
      <c r="Q1" s="52" t="s">
        <v>30</v>
      </c>
      <c r="R1" s="52" t="s">
        <v>31</v>
      </c>
      <c r="S1" s="122" t="s">
        <v>33</v>
      </c>
      <c r="T1" s="122" t="s">
        <v>34</v>
      </c>
      <c r="U1" s="122" t="s">
        <v>35</v>
      </c>
      <c r="V1" s="122" t="s">
        <v>36</v>
      </c>
      <c r="W1" s="122" t="s">
        <v>33</v>
      </c>
      <c r="X1" s="122" t="s">
        <v>34</v>
      </c>
      <c r="Y1" s="122" t="s">
        <v>35</v>
      </c>
      <c r="Z1" s="122" t="s">
        <v>36</v>
      </c>
    </row>
    <row r="2" spans="1:26" ht="15">
      <c r="A2" s="508" t="s">
        <v>11</v>
      </c>
      <c r="B2" s="511" t="s">
        <v>115</v>
      </c>
      <c r="C2" s="507"/>
      <c r="D2" s="53">
        <f>SUM(D3:D7)</f>
        <v>612750.39456508122</v>
      </c>
      <c r="E2" s="53">
        <f>SUM(E4:E7)</f>
        <v>27</v>
      </c>
      <c r="F2" s="53">
        <f>D2/E2/12</f>
        <v>1891.2049214971642</v>
      </c>
      <c r="G2" s="53">
        <f>G8+G14+G17+G22+G25</f>
        <v>35606.261965521087</v>
      </c>
      <c r="H2" s="53">
        <f>H8+H14+H17+H22+H25</f>
        <v>30474.539850660196</v>
      </c>
      <c r="I2" s="53">
        <f t="shared" ref="I2:R2" si="0">I8+I14+I17+I22+I25</f>
        <v>39275.164391999999</v>
      </c>
      <c r="J2" s="53">
        <f t="shared" si="0"/>
        <v>46830.78101304888</v>
      </c>
      <c r="K2" s="53">
        <f t="shared" si="0"/>
        <v>46343.949940716615</v>
      </c>
      <c r="L2" s="53">
        <f t="shared" si="0"/>
        <v>52010.090893282468</v>
      </c>
      <c r="M2" s="53">
        <f t="shared" si="0"/>
        <v>54434.251665515374</v>
      </c>
      <c r="N2" s="53">
        <f t="shared" si="0"/>
        <v>56800.219957549518</v>
      </c>
      <c r="O2" s="53">
        <f>O8+O14+O17+O22+O25</f>
        <v>52645.010468515575</v>
      </c>
      <c r="P2" s="53">
        <f t="shared" si="0"/>
        <v>59508.053804702518</v>
      </c>
      <c r="Q2" s="53">
        <f>Q8+Q14+Q17+Q22+Q25</f>
        <v>68232.5170813984</v>
      </c>
      <c r="R2" s="53">
        <f t="shared" si="0"/>
        <v>66589.553532170597</v>
      </c>
      <c r="S2" s="121">
        <v>111161.86598347541</v>
      </c>
      <c r="T2" s="121">
        <v>141797.03812664794</v>
      </c>
      <c r="U2" s="121">
        <v>163258.48209158043</v>
      </c>
      <c r="V2" s="121">
        <v>196569.1244182715</v>
      </c>
      <c r="W2" s="277">
        <f>S2/$D2</f>
        <v>0.18141459714991456</v>
      </c>
      <c r="X2" s="277">
        <f t="shared" ref="X2:Z2" si="1">T2/$D2</f>
        <v>0.23141076592417836</v>
      </c>
      <c r="Y2" s="277">
        <f t="shared" si="1"/>
        <v>0.26643553972324774</v>
      </c>
      <c r="Z2" s="277">
        <f t="shared" si="1"/>
        <v>0.32079803809476548</v>
      </c>
    </row>
    <row r="3" spans="1:26" ht="13.5">
      <c r="A3" s="509"/>
      <c r="B3" s="513" t="s">
        <v>38</v>
      </c>
      <c r="C3" s="49" t="s">
        <v>44</v>
      </c>
      <c r="D3" s="54">
        <f>D9</f>
        <v>89000</v>
      </c>
      <c r="E3" s="54">
        <v>1</v>
      </c>
      <c r="F3" s="54">
        <f>D3/E3/12</f>
        <v>7416.666666666667</v>
      </c>
      <c r="G3" s="54">
        <f>G9</f>
        <v>7000</v>
      </c>
      <c r="H3" s="54">
        <f t="shared" ref="H3:R3" si="2">H9</f>
        <v>3500</v>
      </c>
      <c r="I3" s="54">
        <f t="shared" si="2"/>
        <v>7000</v>
      </c>
      <c r="J3" s="54">
        <f t="shared" si="2"/>
        <v>8000</v>
      </c>
      <c r="K3" s="54">
        <f t="shared" si="2"/>
        <v>8121</v>
      </c>
      <c r="L3" s="54">
        <f t="shared" si="2"/>
        <v>8070</v>
      </c>
      <c r="M3" s="54">
        <f t="shared" si="2"/>
        <v>8746</v>
      </c>
      <c r="N3" s="54">
        <f t="shared" si="2"/>
        <v>7955</v>
      </c>
      <c r="O3" s="54">
        <f t="shared" si="2"/>
        <v>7357</v>
      </c>
      <c r="P3" s="54">
        <f t="shared" si="2"/>
        <v>7655</v>
      </c>
      <c r="Q3" s="54">
        <f t="shared" si="2"/>
        <v>7952</v>
      </c>
      <c r="R3" s="54">
        <f t="shared" si="2"/>
        <v>7644</v>
      </c>
      <c r="S3" s="54">
        <v>21853</v>
      </c>
      <c r="T3" s="54">
        <v>22016</v>
      </c>
      <c r="U3" s="54">
        <v>21880</v>
      </c>
      <c r="V3" s="54">
        <v>23251</v>
      </c>
      <c r="W3" s="141">
        <f t="shared" ref="W3:W27" si="3">S3/$D3</f>
        <v>0.24553932584269664</v>
      </c>
      <c r="X3" s="141">
        <f t="shared" ref="X3:X27" si="4">T3/$D3</f>
        <v>0.24737078651685393</v>
      </c>
      <c r="Y3" s="141">
        <f t="shared" ref="Y3:Y27" si="5">U3/$D3</f>
        <v>0.24584269662921349</v>
      </c>
      <c r="Z3" s="141">
        <f t="shared" ref="Z3:Z27" si="6">V3/$D3</f>
        <v>0.26124719101123595</v>
      </c>
    </row>
    <row r="4" spans="1:26" ht="13.5">
      <c r="A4" s="509"/>
      <c r="B4" s="514"/>
      <c r="C4" s="49" t="s">
        <v>39</v>
      </c>
      <c r="D4" s="54">
        <f>D10+D18</f>
        <v>49000</v>
      </c>
      <c r="E4" s="54">
        <f>E10+E18</f>
        <v>5</v>
      </c>
      <c r="F4" s="54">
        <f>D4/E4/12</f>
        <v>816.66666666666663</v>
      </c>
      <c r="G4" s="54">
        <f>G10+G18</f>
        <v>1562</v>
      </c>
      <c r="H4" s="54">
        <f t="shared" ref="H4:R4" si="7">H10+H18</f>
        <v>693</v>
      </c>
      <c r="I4" s="54">
        <f t="shared" si="7"/>
        <v>1873</v>
      </c>
      <c r="J4" s="54">
        <f t="shared" si="7"/>
        <v>2172</v>
      </c>
      <c r="K4" s="54">
        <f t="shared" si="7"/>
        <v>3549</v>
      </c>
      <c r="L4" s="54">
        <f t="shared" si="7"/>
        <v>6134</v>
      </c>
      <c r="M4" s="54">
        <f t="shared" si="7"/>
        <v>3216</v>
      </c>
      <c r="N4" s="54">
        <f t="shared" si="7"/>
        <v>5155</v>
      </c>
      <c r="O4" s="54">
        <f t="shared" si="7"/>
        <v>3301</v>
      </c>
      <c r="P4" s="54">
        <f t="shared" si="7"/>
        <v>5494</v>
      </c>
      <c r="Q4" s="54">
        <f t="shared" si="7"/>
        <v>7453</v>
      </c>
      <c r="R4" s="54">
        <f t="shared" si="7"/>
        <v>8398</v>
      </c>
      <c r="S4" s="54">
        <v>4016</v>
      </c>
      <c r="T4" s="54">
        <v>11498</v>
      </c>
      <c r="U4" s="54">
        <v>10901</v>
      </c>
      <c r="V4" s="54">
        <v>22584</v>
      </c>
      <c r="W4" s="141">
        <f t="shared" si="3"/>
        <v>8.1959183673469382E-2</v>
      </c>
      <c r="X4" s="141">
        <f t="shared" si="4"/>
        <v>0.23465306122448978</v>
      </c>
      <c r="Y4" s="141">
        <f t="shared" si="5"/>
        <v>0.22246938775510203</v>
      </c>
      <c r="Z4" s="141">
        <f t="shared" si="6"/>
        <v>0.46089795918367349</v>
      </c>
    </row>
    <row r="5" spans="1:26" ht="13.5" customHeight="1">
      <c r="A5" s="509"/>
      <c r="B5" s="515"/>
      <c r="C5" s="49" t="s">
        <v>40</v>
      </c>
      <c r="D5" s="54">
        <f>D11+D15+D19+D23</f>
        <v>246150.11779418122</v>
      </c>
      <c r="E5" s="54">
        <f>E11+E15+E19+E23</f>
        <v>11</v>
      </c>
      <c r="F5" s="54">
        <f t="shared" ref="F5:F24" si="8">D5/E5/12</f>
        <v>1864.7736196528879</v>
      </c>
      <c r="G5" s="54">
        <f>G11+G15+G19+G23</f>
        <v>11384.08121222109</v>
      </c>
      <c r="H5" s="54">
        <f t="shared" ref="H5:R6" si="9">H11+H15+H19+H23</f>
        <v>12754.434870260195</v>
      </c>
      <c r="I5" s="54">
        <f t="shared" si="9"/>
        <v>14159</v>
      </c>
      <c r="J5" s="54">
        <f t="shared" si="9"/>
        <v>17199.781013048876</v>
      </c>
      <c r="K5" s="54">
        <f t="shared" si="9"/>
        <v>17384.901711916616</v>
      </c>
      <c r="L5" s="54">
        <f t="shared" si="9"/>
        <v>19454.514348882472</v>
      </c>
      <c r="M5" s="54">
        <f t="shared" si="9"/>
        <v>22999.838498715369</v>
      </c>
      <c r="N5" s="54">
        <f t="shared" si="9"/>
        <v>24638.975937949515</v>
      </c>
      <c r="O5" s="54">
        <f t="shared" si="9"/>
        <v>23417.578004915573</v>
      </c>
      <c r="P5" s="54">
        <f t="shared" si="9"/>
        <v>24916.454805902518</v>
      </c>
      <c r="Q5" s="54">
        <f t="shared" si="9"/>
        <v>28499.106046198402</v>
      </c>
      <c r="R5" s="54">
        <f t="shared" si="9"/>
        <v>29341.451344170604</v>
      </c>
      <c r="S5" s="54">
        <v>38732.415857775421</v>
      </c>
      <c r="T5" s="54">
        <v>53784.197073847965</v>
      </c>
      <c r="U5" s="54">
        <v>70884.392441580465</v>
      </c>
      <c r="V5" s="54">
        <v>82757.012196271535</v>
      </c>
      <c r="W5" s="141">
        <f t="shared" si="3"/>
        <v>0.15735282276062768</v>
      </c>
      <c r="X5" s="141">
        <f t="shared" si="4"/>
        <v>0.21850161013865407</v>
      </c>
      <c r="Y5" s="141">
        <f t="shared" si="5"/>
        <v>0.28797220605374868</v>
      </c>
      <c r="Z5" s="141">
        <f t="shared" si="6"/>
        <v>0.33620545437020238</v>
      </c>
    </row>
    <row r="6" spans="1:26" ht="13.5">
      <c r="A6" s="509"/>
      <c r="B6" s="512" t="s">
        <v>41</v>
      </c>
      <c r="C6" s="49" t="s">
        <v>116</v>
      </c>
      <c r="D6" s="54">
        <f>D12+D20+D24+D16+D25</f>
        <v>170600.2767709</v>
      </c>
      <c r="E6" s="54">
        <f>E12+E20+E24+E16+E25</f>
        <v>9</v>
      </c>
      <c r="F6" s="54">
        <f t="shared" si="8"/>
        <v>1579.632192323148</v>
      </c>
      <c r="G6" s="54">
        <f>G12+G16+G20+G24+G26</f>
        <v>12259.180753299999</v>
      </c>
      <c r="H6" s="54">
        <f t="shared" ref="H6:L6" si="10">H12+H16+H20+H24+H26</f>
        <v>10626.104980399999</v>
      </c>
      <c r="I6" s="54">
        <f t="shared" si="10"/>
        <v>13084.164392000001</v>
      </c>
      <c r="J6" s="54">
        <f t="shared" si="10"/>
        <v>14556</v>
      </c>
      <c r="K6" s="54">
        <f t="shared" si="10"/>
        <v>12781.0482288</v>
      </c>
      <c r="L6" s="54">
        <f t="shared" si="10"/>
        <v>13190.576544399999</v>
      </c>
      <c r="M6" s="54">
        <f t="shared" si="9"/>
        <v>13319.413166800001</v>
      </c>
      <c r="N6" s="54">
        <f t="shared" si="9"/>
        <v>12608.244019599999</v>
      </c>
      <c r="O6" s="54">
        <f t="shared" si="9"/>
        <v>11856.432463599998</v>
      </c>
      <c r="P6" s="54">
        <f t="shared" si="9"/>
        <v>14694.5989988</v>
      </c>
      <c r="Q6" s="54">
        <f t="shared" si="9"/>
        <v>16952.411035199999</v>
      </c>
      <c r="R6" s="54">
        <f t="shared" si="9"/>
        <v>13972.102188000001</v>
      </c>
      <c r="S6" s="54">
        <v>36199.450125699994</v>
      </c>
      <c r="T6" s="54">
        <v>40375.841052800002</v>
      </c>
      <c r="U6" s="54">
        <v>43134.089650000002</v>
      </c>
      <c r="V6" s="54">
        <v>50919.112222000003</v>
      </c>
      <c r="W6" s="141">
        <f t="shared" si="3"/>
        <v>0.21218869518196867</v>
      </c>
      <c r="X6" s="141">
        <f t="shared" si="4"/>
        <v>0.23666925879036485</v>
      </c>
      <c r="Y6" s="141">
        <f t="shared" si="5"/>
        <v>0.25283716103183695</v>
      </c>
      <c r="Z6" s="141">
        <f t="shared" si="6"/>
        <v>0.29847027909796153</v>
      </c>
    </row>
    <row r="7" spans="1:26" ht="13.5">
      <c r="A7" s="509"/>
      <c r="B7" s="512"/>
      <c r="C7" s="49" t="s">
        <v>117</v>
      </c>
      <c r="D7" s="54">
        <f>D13+D21</f>
        <v>58000</v>
      </c>
      <c r="E7" s="54">
        <f>E13+E21</f>
        <v>2</v>
      </c>
      <c r="F7" s="54">
        <f t="shared" si="8"/>
        <v>2416.6666666666665</v>
      </c>
      <c r="G7" s="54">
        <f>G13+G21+G27</f>
        <v>3401</v>
      </c>
      <c r="H7" s="54">
        <f t="shared" ref="H7:L7" si="11">H13+H21+H27</f>
        <v>2901</v>
      </c>
      <c r="I7" s="54">
        <f t="shared" si="11"/>
        <v>3159</v>
      </c>
      <c r="J7" s="54">
        <f t="shared" si="11"/>
        <v>4903</v>
      </c>
      <c r="K7" s="54">
        <f t="shared" si="11"/>
        <v>4508</v>
      </c>
      <c r="L7" s="54">
        <f t="shared" si="11"/>
        <v>5161</v>
      </c>
      <c r="M7" s="54">
        <f>M13+M21+M26</f>
        <v>6153</v>
      </c>
      <c r="N7" s="54">
        <f>N13+N21+N26</f>
        <v>6443</v>
      </c>
      <c r="O7" s="54">
        <f>O13+O21+O26</f>
        <v>6713</v>
      </c>
      <c r="P7" s="54">
        <f>P13+P21+P26</f>
        <v>6748</v>
      </c>
      <c r="Q7" s="54">
        <f>Q13+Q21+Q26</f>
        <v>7376</v>
      </c>
      <c r="R7" s="54">
        <f>R13+R21+R26</f>
        <v>7234</v>
      </c>
      <c r="S7" s="54">
        <v>10361</v>
      </c>
      <c r="T7" s="54">
        <v>14123</v>
      </c>
      <c r="U7" s="54">
        <v>16459</v>
      </c>
      <c r="V7" s="54">
        <v>17058</v>
      </c>
      <c r="W7" s="141">
        <f t="shared" si="3"/>
        <v>0.17863793103448275</v>
      </c>
      <c r="X7" s="141">
        <f t="shared" si="4"/>
        <v>0.24349999999999999</v>
      </c>
      <c r="Y7" s="141">
        <f t="shared" si="5"/>
        <v>0.28377586206896549</v>
      </c>
      <c r="Z7" s="141">
        <f t="shared" si="6"/>
        <v>0.29410344827586204</v>
      </c>
    </row>
    <row r="8" spans="1:26" ht="15">
      <c r="A8" s="508" t="s">
        <v>7</v>
      </c>
      <c r="B8" s="511" t="s">
        <v>115</v>
      </c>
      <c r="C8" s="507"/>
      <c r="D8" s="53">
        <f>SUM(D9:D13)</f>
        <v>330000</v>
      </c>
      <c r="E8" s="53">
        <f>SUM(E10:E13)</f>
        <v>10</v>
      </c>
      <c r="F8" s="53">
        <f t="shared" si="8"/>
        <v>2750</v>
      </c>
      <c r="G8" s="53">
        <f t="shared" ref="G8:M8" si="12">SUM(G9:G13)</f>
        <v>19390</v>
      </c>
      <c r="H8" s="53">
        <f t="shared" si="12"/>
        <v>13882</v>
      </c>
      <c r="I8" s="53">
        <f t="shared" si="12"/>
        <v>20020</v>
      </c>
      <c r="J8" s="53">
        <f t="shared" si="12"/>
        <v>24426</v>
      </c>
      <c r="K8" s="53">
        <f>SUM(K9:K13)</f>
        <v>25595</v>
      </c>
      <c r="L8" s="53">
        <f t="shared" si="12"/>
        <v>29572</v>
      </c>
      <c r="M8" s="53">
        <f t="shared" si="12"/>
        <v>29916</v>
      </c>
      <c r="N8" s="53">
        <f>SUM(N9:N13)</f>
        <v>32358</v>
      </c>
      <c r="O8" s="53">
        <f t="shared" ref="O8:R8" si="13">SUM(O9:O13)</f>
        <v>30313</v>
      </c>
      <c r="P8" s="53">
        <f t="shared" si="13"/>
        <v>32333</v>
      </c>
      <c r="Q8" s="53">
        <f t="shared" si="13"/>
        <v>35854</v>
      </c>
      <c r="R8" s="53">
        <f t="shared" si="13"/>
        <v>36341</v>
      </c>
      <c r="S8" s="53">
        <v>59061</v>
      </c>
      <c r="T8" s="53">
        <v>76206</v>
      </c>
      <c r="U8" s="53">
        <v>88966</v>
      </c>
      <c r="V8" s="53">
        <v>105767</v>
      </c>
      <c r="W8" s="277">
        <f t="shared" si="3"/>
        <v>0.17897272727272728</v>
      </c>
      <c r="X8" s="277">
        <f t="shared" si="4"/>
        <v>0.23092727272727273</v>
      </c>
      <c r="Y8" s="277">
        <f t="shared" si="5"/>
        <v>0.26959393939393939</v>
      </c>
      <c r="Z8" s="277">
        <f t="shared" si="6"/>
        <v>0.32050606060606063</v>
      </c>
    </row>
    <row r="9" spans="1:26" ht="13.5">
      <c r="A9" s="509"/>
      <c r="B9" s="513" t="s">
        <v>38</v>
      </c>
      <c r="C9" s="49" t="s">
        <v>44</v>
      </c>
      <c r="D9" s="51">
        <f t="shared" ref="D9" si="14">SUM(G9:R9)</f>
        <v>89000</v>
      </c>
      <c r="E9" s="125">
        <v>1</v>
      </c>
      <c r="F9" s="51">
        <f t="shared" ref="F9" si="15">D9/E9/12</f>
        <v>7416.666666666667</v>
      </c>
      <c r="G9" s="50">
        <v>7000</v>
      </c>
      <c r="H9" s="50">
        <v>3500</v>
      </c>
      <c r="I9" s="50">
        <v>7000</v>
      </c>
      <c r="J9" s="50">
        <v>8000</v>
      </c>
      <c r="K9" s="50">
        <v>8121</v>
      </c>
      <c r="L9" s="50">
        <v>8070</v>
      </c>
      <c r="M9" s="50">
        <v>8746</v>
      </c>
      <c r="N9" s="50">
        <v>7955</v>
      </c>
      <c r="O9" s="50">
        <v>7357</v>
      </c>
      <c r="P9" s="50">
        <v>7655</v>
      </c>
      <c r="Q9" s="50">
        <v>7952</v>
      </c>
      <c r="R9" s="50">
        <v>7644</v>
      </c>
      <c r="S9" s="50">
        <v>21853</v>
      </c>
      <c r="T9" s="50">
        <v>22016</v>
      </c>
      <c r="U9" s="50">
        <v>21880</v>
      </c>
      <c r="V9" s="50">
        <v>23251</v>
      </c>
      <c r="W9" s="141">
        <f t="shared" si="3"/>
        <v>0.24553932584269664</v>
      </c>
      <c r="X9" s="141">
        <f t="shared" si="4"/>
        <v>0.24737078651685393</v>
      </c>
      <c r="Y9" s="141">
        <f t="shared" si="5"/>
        <v>0.24584269662921349</v>
      </c>
      <c r="Z9" s="141">
        <f t="shared" si="6"/>
        <v>0.26124719101123595</v>
      </c>
    </row>
    <row r="10" spans="1:26" ht="13.5" customHeight="1">
      <c r="A10" s="509"/>
      <c r="B10" s="514"/>
      <c r="C10" s="49" t="s">
        <v>39</v>
      </c>
      <c r="D10" s="51">
        <f>SUM(G10:R10)</f>
        <v>38000</v>
      </c>
      <c r="E10" s="125">
        <v>3</v>
      </c>
      <c r="F10" s="51">
        <f t="shared" si="8"/>
        <v>1055.5555555555554</v>
      </c>
      <c r="G10" s="50">
        <v>1270</v>
      </c>
      <c r="H10" s="50">
        <v>662</v>
      </c>
      <c r="I10" s="50">
        <v>860</v>
      </c>
      <c r="J10" s="50">
        <v>1792</v>
      </c>
      <c r="K10" s="50">
        <v>2842</v>
      </c>
      <c r="L10" s="50">
        <v>5112</v>
      </c>
      <c r="M10" s="50">
        <v>2392</v>
      </c>
      <c r="N10" s="50">
        <v>4417</v>
      </c>
      <c r="O10" s="50">
        <v>2582</v>
      </c>
      <c r="P10" s="50">
        <v>3822</v>
      </c>
      <c r="Q10" s="50">
        <v>5652</v>
      </c>
      <c r="R10" s="50">
        <v>6597</v>
      </c>
      <c r="S10" s="50">
        <v>2680</v>
      </c>
      <c r="T10" s="50">
        <v>9390</v>
      </c>
      <c r="U10" s="50">
        <v>8620</v>
      </c>
      <c r="V10" s="50">
        <v>17310</v>
      </c>
      <c r="W10" s="141">
        <f t="shared" si="3"/>
        <v>7.0526315789473687E-2</v>
      </c>
      <c r="X10" s="141">
        <f t="shared" si="4"/>
        <v>0.24710526315789474</v>
      </c>
      <c r="Y10" s="141">
        <f t="shared" si="5"/>
        <v>0.2268421052631579</v>
      </c>
      <c r="Z10" s="141">
        <f t="shared" si="6"/>
        <v>0.45552631578947367</v>
      </c>
    </row>
    <row r="11" spans="1:26" ht="13.5" customHeight="1">
      <c r="A11" s="509"/>
      <c r="B11" s="515"/>
      <c r="C11" s="49" t="s">
        <v>40</v>
      </c>
      <c r="D11" s="51">
        <f>SUM(G11:R11)</f>
        <v>140000</v>
      </c>
      <c r="E11" s="125">
        <v>4</v>
      </c>
      <c r="F11" s="51">
        <f t="shared" si="8"/>
        <v>2916.6666666666665</v>
      </c>
      <c r="G11" s="50">
        <v>7720</v>
      </c>
      <c r="H11" s="50">
        <v>7720</v>
      </c>
      <c r="I11" s="50">
        <v>8060</v>
      </c>
      <c r="J11" s="50">
        <v>9734</v>
      </c>
      <c r="K11" s="50">
        <v>10432</v>
      </c>
      <c r="L11" s="50">
        <v>11590</v>
      </c>
      <c r="M11" s="50">
        <v>12128</v>
      </c>
      <c r="N11" s="50">
        <v>13136</v>
      </c>
      <c r="O11" s="50">
        <v>13574</v>
      </c>
      <c r="P11" s="50">
        <v>14506</v>
      </c>
      <c r="Q11" s="50">
        <v>15700</v>
      </c>
      <c r="R11" s="50">
        <v>15700</v>
      </c>
      <c r="S11" s="50">
        <v>23928</v>
      </c>
      <c r="T11" s="50">
        <v>31500</v>
      </c>
      <c r="U11" s="50">
        <v>38666</v>
      </c>
      <c r="V11" s="50">
        <v>45906</v>
      </c>
      <c r="W11" s="141">
        <f t="shared" si="3"/>
        <v>0.17091428571428571</v>
      </c>
      <c r="X11" s="141">
        <f t="shared" si="4"/>
        <v>0.22500000000000001</v>
      </c>
      <c r="Y11" s="141">
        <f t="shared" si="5"/>
        <v>0.27618571428571431</v>
      </c>
      <c r="Z11" s="141">
        <f t="shared" si="6"/>
        <v>0.32790000000000002</v>
      </c>
    </row>
    <row r="12" spans="1:26" ht="13.5">
      <c r="A12" s="509"/>
      <c r="B12" s="512" t="s">
        <v>41</v>
      </c>
      <c r="C12" s="49" t="s">
        <v>116</v>
      </c>
      <c r="D12" s="51">
        <f t="shared" ref="D11:D24" si="16">SUM(G12:R12)</f>
        <v>38000</v>
      </c>
      <c r="E12" s="125">
        <v>2</v>
      </c>
      <c r="F12" s="51">
        <f t="shared" si="8"/>
        <v>1583.3333333333333</v>
      </c>
      <c r="G12" s="50">
        <v>2200</v>
      </c>
      <c r="H12" s="50">
        <v>1300</v>
      </c>
      <c r="I12" s="50">
        <v>2300</v>
      </c>
      <c r="J12" s="50">
        <v>2250</v>
      </c>
      <c r="K12" s="50">
        <v>2350</v>
      </c>
      <c r="L12" s="50">
        <v>2550</v>
      </c>
      <c r="M12" s="50">
        <v>4100</v>
      </c>
      <c r="N12" s="50">
        <v>4200</v>
      </c>
      <c r="O12" s="50">
        <v>4350</v>
      </c>
      <c r="P12" s="50">
        <v>4050</v>
      </c>
      <c r="Q12" s="50">
        <v>4250</v>
      </c>
      <c r="R12" s="50">
        <v>4099.9999999999991</v>
      </c>
      <c r="S12" s="50">
        <v>6000</v>
      </c>
      <c r="T12" s="50">
        <v>7000</v>
      </c>
      <c r="U12" s="50">
        <v>12600</v>
      </c>
      <c r="V12" s="50">
        <v>12400</v>
      </c>
      <c r="W12" s="141">
        <f t="shared" si="3"/>
        <v>0.15789473684210525</v>
      </c>
      <c r="X12" s="141">
        <f t="shared" si="4"/>
        <v>0.18421052631578946</v>
      </c>
      <c r="Y12" s="141">
        <f t="shared" si="5"/>
        <v>0.33157894736842103</v>
      </c>
      <c r="Z12" s="141">
        <f t="shared" si="6"/>
        <v>0.32631578947368423</v>
      </c>
    </row>
    <row r="13" spans="1:26" ht="13.5">
      <c r="A13" s="509"/>
      <c r="B13" s="512"/>
      <c r="C13" s="49" t="s">
        <v>117</v>
      </c>
      <c r="D13" s="51">
        <f t="shared" si="16"/>
        <v>25000</v>
      </c>
      <c r="E13" s="125">
        <v>1</v>
      </c>
      <c r="F13" s="51">
        <f t="shared" si="8"/>
        <v>2083.3333333333335</v>
      </c>
      <c r="G13" s="50">
        <v>1200</v>
      </c>
      <c r="H13" s="50">
        <v>700</v>
      </c>
      <c r="I13" s="50">
        <v>1800</v>
      </c>
      <c r="J13" s="50">
        <v>2650</v>
      </c>
      <c r="K13" s="50">
        <v>1850</v>
      </c>
      <c r="L13" s="50">
        <v>2250</v>
      </c>
      <c r="M13" s="50">
        <v>2550</v>
      </c>
      <c r="N13" s="50">
        <v>2650</v>
      </c>
      <c r="O13" s="50">
        <v>2450</v>
      </c>
      <c r="P13" s="50">
        <v>2300</v>
      </c>
      <c r="Q13" s="50">
        <v>2300</v>
      </c>
      <c r="R13" s="50">
        <v>2300</v>
      </c>
      <c r="S13" s="50">
        <v>4600</v>
      </c>
      <c r="T13" s="50">
        <v>6300</v>
      </c>
      <c r="U13" s="50">
        <v>7200</v>
      </c>
      <c r="V13" s="50">
        <v>6900</v>
      </c>
      <c r="W13" s="141">
        <f t="shared" si="3"/>
        <v>0.184</v>
      </c>
      <c r="X13" s="141">
        <f t="shared" si="4"/>
        <v>0.252</v>
      </c>
      <c r="Y13" s="141">
        <f t="shared" si="5"/>
        <v>0.28799999999999998</v>
      </c>
      <c r="Z13" s="141">
        <f t="shared" si="6"/>
        <v>0.27600000000000002</v>
      </c>
    </row>
    <row r="14" spans="1:26" ht="13.5">
      <c r="A14" s="508" t="s">
        <v>8</v>
      </c>
      <c r="B14" s="511" t="s">
        <v>115</v>
      </c>
      <c r="C14" s="507"/>
      <c r="D14" s="53">
        <f>SUM(D15:D16)</f>
        <v>120000.39456508124</v>
      </c>
      <c r="E14" s="53">
        <f>SUM(E16:E16)</f>
        <v>3</v>
      </c>
      <c r="F14" s="53">
        <f t="shared" si="8"/>
        <v>3333.3442934744785</v>
      </c>
      <c r="G14" s="53">
        <f>G15+G16</f>
        <v>7804.2619655210901</v>
      </c>
      <c r="H14" s="53">
        <f t="shared" ref="H14:R14" si="17">H15+H16</f>
        <v>8879.539850660196</v>
      </c>
      <c r="I14" s="53">
        <f t="shared" si="17"/>
        <v>8839.1643920000006</v>
      </c>
      <c r="J14" s="53">
        <f t="shared" si="17"/>
        <v>10780.781013048876</v>
      </c>
      <c r="K14" s="53">
        <f t="shared" si="17"/>
        <v>9044.9499407166186</v>
      </c>
      <c r="L14" s="53">
        <f t="shared" si="17"/>
        <v>8431.0908932824714</v>
      </c>
      <c r="M14" s="53">
        <f t="shared" si="17"/>
        <v>10007.25166551537</v>
      </c>
      <c r="N14" s="53">
        <f t="shared" si="17"/>
        <v>9130.2199575495142</v>
      </c>
      <c r="O14" s="53">
        <f t="shared" si="17"/>
        <v>8146.010468515572</v>
      </c>
      <c r="P14" s="53">
        <f t="shared" si="17"/>
        <v>10870.053804702518</v>
      </c>
      <c r="Q14" s="53">
        <f t="shared" si="17"/>
        <v>15027.5170813984</v>
      </c>
      <c r="R14" s="53">
        <f t="shared" si="17"/>
        <v>13039.553532170605</v>
      </c>
      <c r="S14" s="53">
        <v>25559.865983475425</v>
      </c>
      <c r="T14" s="53">
        <v>28257.038126647964</v>
      </c>
      <c r="U14" s="53">
        <v>27283.482091580456</v>
      </c>
      <c r="V14" s="53">
        <v>38937.124418271524</v>
      </c>
      <c r="W14" s="141">
        <f t="shared" si="3"/>
        <v>0.21299818284858421</v>
      </c>
      <c r="X14" s="141">
        <f t="shared" si="4"/>
        <v>0.23547454347179658</v>
      </c>
      <c r="Y14" s="141">
        <f t="shared" si="5"/>
        <v>0.22736160318859186</v>
      </c>
      <c r="Z14" s="141">
        <f t="shared" si="6"/>
        <v>0.32447496993148878</v>
      </c>
    </row>
    <row r="15" spans="1:26" ht="13.5">
      <c r="A15" s="509"/>
      <c r="B15" s="48" t="s">
        <v>38</v>
      </c>
      <c r="C15" s="49" t="s">
        <v>40</v>
      </c>
      <c r="D15" s="51">
        <f>SUM(G15:R15)</f>
        <v>60000.117794181235</v>
      </c>
      <c r="E15" s="51">
        <v>3</v>
      </c>
      <c r="F15" s="51">
        <f>D15/E15/12</f>
        <v>1666.6699387272565</v>
      </c>
      <c r="G15" s="50">
        <v>1400.0812122210898</v>
      </c>
      <c r="H15" s="50">
        <v>2323.4348702601951</v>
      </c>
      <c r="I15" s="50">
        <v>3050</v>
      </c>
      <c r="J15" s="50">
        <v>4096.7810130488751</v>
      </c>
      <c r="K15" s="50">
        <v>4345.9017119166174</v>
      </c>
      <c r="L15" s="50">
        <v>4439.5143488824724</v>
      </c>
      <c r="M15" s="50">
        <v>6585.8384987153704</v>
      </c>
      <c r="N15" s="50">
        <v>6368.9759379495154</v>
      </c>
      <c r="O15" s="50">
        <v>5671.5780049155728</v>
      </c>
      <c r="P15" s="50">
        <v>6257.4548059025183</v>
      </c>
      <c r="Q15" s="50">
        <v>7309.1060461983998</v>
      </c>
      <c r="R15" s="50">
        <v>8151.4513441706049</v>
      </c>
      <c r="S15" s="50">
        <v>6780.4158577754233</v>
      </c>
      <c r="T15" s="50">
        <v>12882.197073847965</v>
      </c>
      <c r="U15" s="50">
        <v>18626.392441580461</v>
      </c>
      <c r="V15" s="50">
        <v>21718.012196271524</v>
      </c>
      <c r="W15" s="141">
        <f t="shared" si="3"/>
        <v>0.11300670910404417</v>
      </c>
      <c r="X15" s="141">
        <f t="shared" si="4"/>
        <v>0.21470286305166672</v>
      </c>
      <c r="Y15" s="141">
        <f t="shared" si="5"/>
        <v>0.31043926456069115</v>
      </c>
      <c r="Z15" s="141">
        <f t="shared" si="6"/>
        <v>0.3619661593127359</v>
      </c>
    </row>
    <row r="16" spans="1:26" ht="13.5">
      <c r="A16" s="509"/>
      <c r="B16" s="48" t="s">
        <v>41</v>
      </c>
      <c r="C16" s="49" t="s">
        <v>116</v>
      </c>
      <c r="D16" s="51">
        <f t="shared" si="16"/>
        <v>60000.276770900004</v>
      </c>
      <c r="E16" s="51">
        <v>3</v>
      </c>
      <c r="F16" s="51">
        <f t="shared" si="8"/>
        <v>1666.6743547472224</v>
      </c>
      <c r="G16" s="50">
        <v>6404.1807533000001</v>
      </c>
      <c r="H16" s="50">
        <v>6556.1049804000004</v>
      </c>
      <c r="I16" s="50">
        <v>5789.1643920000006</v>
      </c>
      <c r="J16" s="50">
        <v>6684</v>
      </c>
      <c r="K16" s="50">
        <v>4699.0482288000003</v>
      </c>
      <c r="L16" s="50">
        <v>3991.5765443999999</v>
      </c>
      <c r="M16" s="50">
        <v>3421.4131668</v>
      </c>
      <c r="N16" s="50">
        <v>2761.2440195999998</v>
      </c>
      <c r="O16" s="50">
        <v>2474.4324635999992</v>
      </c>
      <c r="P16" s="50">
        <v>4612.5989988000001</v>
      </c>
      <c r="Q16" s="50">
        <v>7718.4110352000007</v>
      </c>
      <c r="R16" s="50">
        <v>4888.1021880000008</v>
      </c>
      <c r="S16" s="50">
        <v>18779.450125700001</v>
      </c>
      <c r="T16" s="50">
        <v>15374.8410528</v>
      </c>
      <c r="U16" s="50">
        <v>8657.0896499999999</v>
      </c>
      <c r="V16" s="50">
        <v>17219.112222</v>
      </c>
      <c r="W16" s="141">
        <f t="shared" si="3"/>
        <v>0.31298939165573969</v>
      </c>
      <c r="X16" s="141">
        <f t="shared" si="4"/>
        <v>0.25624616885528706</v>
      </c>
      <c r="Y16" s="141">
        <f t="shared" si="5"/>
        <v>0.14428416193904406</v>
      </c>
      <c r="Z16" s="141">
        <f t="shared" si="6"/>
        <v>0.28698387988688795</v>
      </c>
    </row>
    <row r="17" spans="1:26" ht="13.5">
      <c r="A17" s="508" t="s">
        <v>5</v>
      </c>
      <c r="B17" s="511" t="s">
        <v>115</v>
      </c>
      <c r="C17" s="507"/>
      <c r="D17" s="53">
        <f>SUM(D18:D21)</f>
        <v>114000</v>
      </c>
      <c r="E17" s="53">
        <f>SUM(E18:E21)</f>
        <v>8</v>
      </c>
      <c r="F17" s="53">
        <f t="shared" si="8"/>
        <v>1187.5</v>
      </c>
      <c r="G17" s="53">
        <f>G18+G19+G20+G21</f>
        <v>7212</v>
      </c>
      <c r="H17" s="53">
        <f t="shared" ref="H17:R17" si="18">H18+H19+H20+H21</f>
        <v>6513</v>
      </c>
      <c r="I17" s="53">
        <f t="shared" si="18"/>
        <v>8066</v>
      </c>
      <c r="J17" s="53">
        <f t="shared" si="18"/>
        <v>8034</v>
      </c>
      <c r="K17" s="53">
        <f t="shared" si="18"/>
        <v>8304</v>
      </c>
      <c r="L17" s="53">
        <f t="shared" si="18"/>
        <v>10047</v>
      </c>
      <c r="M17" s="53">
        <f t="shared" si="18"/>
        <v>10411</v>
      </c>
      <c r="N17" s="53">
        <f t="shared" si="18"/>
        <v>10662</v>
      </c>
      <c r="O17" s="53">
        <f t="shared" si="18"/>
        <v>9786</v>
      </c>
      <c r="P17" s="53">
        <f t="shared" si="18"/>
        <v>11805</v>
      </c>
      <c r="Q17" s="53">
        <f t="shared" si="18"/>
        <v>11551</v>
      </c>
      <c r="R17" s="53">
        <f t="shared" si="18"/>
        <v>11609</v>
      </c>
      <c r="S17" s="53">
        <v>21791</v>
      </c>
      <c r="T17" s="53">
        <v>26384</v>
      </c>
      <c r="U17" s="53">
        <v>30859</v>
      </c>
      <c r="V17" s="53">
        <v>34965</v>
      </c>
      <c r="W17" s="141">
        <f t="shared" si="3"/>
        <v>0.19114912280701754</v>
      </c>
      <c r="X17" s="141">
        <f t="shared" si="4"/>
        <v>0.23143859649122808</v>
      </c>
      <c r="Y17" s="141">
        <f t="shared" si="5"/>
        <v>0.27069298245614037</v>
      </c>
      <c r="Z17" s="141">
        <f t="shared" si="6"/>
        <v>0.30671052631578949</v>
      </c>
    </row>
    <row r="18" spans="1:26" ht="13.5">
      <c r="A18" s="509"/>
      <c r="B18" s="512" t="s">
        <v>38</v>
      </c>
      <c r="C18" s="49" t="s">
        <v>39</v>
      </c>
      <c r="D18" s="51">
        <f>SUM(G18:R18)</f>
        <v>11000</v>
      </c>
      <c r="E18" s="125">
        <v>2</v>
      </c>
      <c r="F18" s="51">
        <f t="shared" si="8"/>
        <v>458.33333333333331</v>
      </c>
      <c r="G18" s="50">
        <v>292</v>
      </c>
      <c r="H18" s="50">
        <v>31</v>
      </c>
      <c r="I18" s="50">
        <v>1013</v>
      </c>
      <c r="J18" s="50">
        <v>380</v>
      </c>
      <c r="K18" s="50">
        <v>707</v>
      </c>
      <c r="L18" s="50">
        <v>1022</v>
      </c>
      <c r="M18" s="50">
        <v>824</v>
      </c>
      <c r="N18" s="50">
        <v>738</v>
      </c>
      <c r="O18" s="50">
        <v>719</v>
      </c>
      <c r="P18" s="50">
        <v>1672</v>
      </c>
      <c r="Q18" s="50">
        <v>1801</v>
      </c>
      <c r="R18" s="50">
        <v>1801</v>
      </c>
      <c r="S18" s="50">
        <v>1336</v>
      </c>
      <c r="T18" s="50">
        <v>2108</v>
      </c>
      <c r="U18" s="50">
        <v>2281</v>
      </c>
      <c r="V18" s="50">
        <v>5274</v>
      </c>
      <c r="W18" s="141">
        <f t="shared" si="3"/>
        <v>0.12145454545454545</v>
      </c>
      <c r="X18" s="141">
        <f t="shared" si="4"/>
        <v>0.19163636363636363</v>
      </c>
      <c r="Y18" s="141">
        <f t="shared" si="5"/>
        <v>0.20736363636363636</v>
      </c>
      <c r="Z18" s="141">
        <f t="shared" si="6"/>
        <v>0.47945454545454547</v>
      </c>
    </row>
    <row r="19" spans="1:26" ht="13.5">
      <c r="A19" s="509"/>
      <c r="B19" s="512"/>
      <c r="C19" s="49" t="s">
        <v>40</v>
      </c>
      <c r="D19" s="51">
        <f t="shared" si="16"/>
        <v>30000</v>
      </c>
      <c r="E19" s="125">
        <v>3</v>
      </c>
      <c r="F19" s="51">
        <f t="shared" si="8"/>
        <v>833.33333333333337</v>
      </c>
      <c r="G19" s="50">
        <v>2164</v>
      </c>
      <c r="H19" s="50">
        <v>2611</v>
      </c>
      <c r="I19" s="50">
        <v>2549</v>
      </c>
      <c r="J19" s="50">
        <v>2829</v>
      </c>
      <c r="K19" s="50">
        <v>1807</v>
      </c>
      <c r="L19" s="50">
        <v>2365</v>
      </c>
      <c r="M19" s="50">
        <v>2386</v>
      </c>
      <c r="N19" s="50">
        <v>2784</v>
      </c>
      <c r="O19" s="50">
        <v>2472</v>
      </c>
      <c r="P19" s="50">
        <v>2253</v>
      </c>
      <c r="Q19" s="50">
        <v>2890</v>
      </c>
      <c r="R19" s="50">
        <v>2890</v>
      </c>
      <c r="S19" s="50">
        <v>7324</v>
      </c>
      <c r="T19" s="50">
        <v>7002</v>
      </c>
      <c r="U19" s="50">
        <v>7642</v>
      </c>
      <c r="V19" s="50">
        <v>8033</v>
      </c>
      <c r="W19" s="141">
        <f t="shared" si="3"/>
        <v>0.24413333333333334</v>
      </c>
      <c r="X19" s="141">
        <f t="shared" si="4"/>
        <v>0.2334</v>
      </c>
      <c r="Y19" s="141">
        <f t="shared" si="5"/>
        <v>0.25473333333333331</v>
      </c>
      <c r="Z19" s="141">
        <f t="shared" si="6"/>
        <v>0.26776666666666665</v>
      </c>
    </row>
    <row r="20" spans="1:26" ht="13.5">
      <c r="A20" s="509"/>
      <c r="B20" s="512" t="s">
        <v>41</v>
      </c>
      <c r="C20" s="49" t="s">
        <v>116</v>
      </c>
      <c r="D20" s="51">
        <f t="shared" si="16"/>
        <v>40000</v>
      </c>
      <c r="E20" s="125">
        <v>2</v>
      </c>
      <c r="F20" s="51">
        <f t="shared" si="8"/>
        <v>1666.6666666666667</v>
      </c>
      <c r="G20" s="50">
        <v>2555</v>
      </c>
      <c r="H20" s="50">
        <v>1670</v>
      </c>
      <c r="I20" s="50">
        <v>3145</v>
      </c>
      <c r="J20" s="50">
        <v>2572</v>
      </c>
      <c r="K20" s="50">
        <v>3132</v>
      </c>
      <c r="L20" s="50">
        <v>3749</v>
      </c>
      <c r="M20" s="50">
        <v>4298</v>
      </c>
      <c r="N20" s="50">
        <v>4147</v>
      </c>
      <c r="O20" s="50">
        <v>3232</v>
      </c>
      <c r="P20" s="50">
        <v>4532</v>
      </c>
      <c r="Q20" s="50">
        <v>3484</v>
      </c>
      <c r="R20" s="50">
        <v>3484</v>
      </c>
      <c r="S20" s="50">
        <v>7370</v>
      </c>
      <c r="T20" s="50">
        <v>9451</v>
      </c>
      <c r="U20" s="50">
        <v>11677</v>
      </c>
      <c r="V20" s="50">
        <v>11500</v>
      </c>
      <c r="W20" s="141">
        <f t="shared" si="3"/>
        <v>0.18425</v>
      </c>
      <c r="X20" s="141">
        <f t="shared" si="4"/>
        <v>0.23627500000000001</v>
      </c>
      <c r="Y20" s="141">
        <f t="shared" si="5"/>
        <v>0.29192499999999999</v>
      </c>
      <c r="Z20" s="141">
        <f t="shared" si="6"/>
        <v>0.28749999999999998</v>
      </c>
    </row>
    <row r="21" spans="1:26" ht="13.5">
      <c r="A21" s="510"/>
      <c r="B21" s="512"/>
      <c r="C21" s="49" t="s">
        <v>117</v>
      </c>
      <c r="D21" s="51">
        <f t="shared" si="16"/>
        <v>33000</v>
      </c>
      <c r="E21" s="125">
        <v>1</v>
      </c>
      <c r="F21" s="51">
        <f t="shared" si="8"/>
        <v>2750</v>
      </c>
      <c r="G21" s="50">
        <v>2201</v>
      </c>
      <c r="H21" s="50">
        <v>2201</v>
      </c>
      <c r="I21" s="50">
        <v>1359</v>
      </c>
      <c r="J21" s="50">
        <v>2253</v>
      </c>
      <c r="K21" s="50">
        <v>2658</v>
      </c>
      <c r="L21" s="50">
        <v>2911</v>
      </c>
      <c r="M21" s="50">
        <v>2903</v>
      </c>
      <c r="N21" s="50">
        <v>2993</v>
      </c>
      <c r="O21" s="50">
        <v>3363</v>
      </c>
      <c r="P21" s="50">
        <v>3348</v>
      </c>
      <c r="Q21" s="50">
        <v>3376</v>
      </c>
      <c r="R21" s="50">
        <v>3434</v>
      </c>
      <c r="S21" s="50">
        <v>5761</v>
      </c>
      <c r="T21" s="50">
        <v>7823</v>
      </c>
      <c r="U21" s="50">
        <v>9259</v>
      </c>
      <c r="V21" s="50">
        <v>10158</v>
      </c>
      <c r="W21" s="141">
        <f t="shared" si="3"/>
        <v>0.17457575757575758</v>
      </c>
      <c r="X21" s="141">
        <f t="shared" si="4"/>
        <v>0.23706060606060606</v>
      </c>
      <c r="Y21" s="141">
        <f t="shared" si="5"/>
        <v>0.28057575757575759</v>
      </c>
      <c r="Z21" s="141">
        <f t="shared" si="6"/>
        <v>0.30781818181818182</v>
      </c>
    </row>
    <row r="22" spans="1:26" ht="13.5">
      <c r="A22" s="508" t="s">
        <v>10</v>
      </c>
      <c r="B22" s="511" t="s">
        <v>115</v>
      </c>
      <c r="C22" s="507"/>
      <c r="D22" s="53">
        <f>SUM(D23:D24)</f>
        <v>29550</v>
      </c>
      <c r="E22" s="53">
        <f>SUM(E24:E24)</f>
        <v>1</v>
      </c>
      <c r="F22" s="53">
        <f t="shared" si="8"/>
        <v>2462.5</v>
      </c>
      <c r="G22" s="53">
        <f>G23+G24</f>
        <v>100</v>
      </c>
      <c r="H22" s="53">
        <f t="shared" ref="H22" si="19">H23+H24</f>
        <v>100</v>
      </c>
      <c r="I22" s="53">
        <f t="shared" ref="I22" si="20">I23+I24</f>
        <v>950</v>
      </c>
      <c r="J22" s="53">
        <f t="shared" ref="J22" si="21">J23+J24</f>
        <v>1990</v>
      </c>
      <c r="K22" s="53">
        <f t="shared" ref="K22" si="22">K23+K24</f>
        <v>1800</v>
      </c>
      <c r="L22" s="53">
        <f t="shared" ref="L22" si="23">L23+L24</f>
        <v>2260</v>
      </c>
      <c r="M22" s="53">
        <f t="shared" ref="M22" si="24">M23+M24</f>
        <v>3400</v>
      </c>
      <c r="N22" s="53">
        <f t="shared" ref="N22" si="25">N23+N24</f>
        <v>3850</v>
      </c>
      <c r="O22" s="53">
        <f t="shared" ref="O22" si="26">O23+O24</f>
        <v>3500</v>
      </c>
      <c r="P22" s="53">
        <f t="shared" ref="P22" si="27">P23+P24</f>
        <v>3400</v>
      </c>
      <c r="Q22" s="53">
        <f t="shared" ref="Q22" si="28">Q23+Q24</f>
        <v>4100</v>
      </c>
      <c r="R22" s="53">
        <f t="shared" ref="R22" si="29">R23+R24</f>
        <v>4100</v>
      </c>
      <c r="S22" s="53">
        <v>1150</v>
      </c>
      <c r="T22" s="53">
        <v>6050</v>
      </c>
      <c r="U22" s="53">
        <v>10750</v>
      </c>
      <c r="V22" s="53">
        <v>11600</v>
      </c>
      <c r="W22" s="141">
        <f t="shared" si="3"/>
        <v>3.8917089678510999E-2</v>
      </c>
      <c r="X22" s="141">
        <f t="shared" si="4"/>
        <v>0.20473773265651438</v>
      </c>
      <c r="Y22" s="141">
        <f t="shared" si="5"/>
        <v>0.36379018612521152</v>
      </c>
      <c r="Z22" s="141">
        <f t="shared" si="6"/>
        <v>0.39255499153976309</v>
      </c>
    </row>
    <row r="23" spans="1:26" ht="13.5">
      <c r="A23" s="509"/>
      <c r="B23" s="48" t="s">
        <v>38</v>
      </c>
      <c r="C23" s="49" t="s">
        <v>40</v>
      </c>
      <c r="D23" s="51">
        <f>SUM(G23:R23)</f>
        <v>16150</v>
      </c>
      <c r="E23" s="51">
        <v>1</v>
      </c>
      <c r="F23" s="51">
        <f>D23/E23/12</f>
        <v>1345.8333333333333</v>
      </c>
      <c r="G23" s="50">
        <v>100</v>
      </c>
      <c r="H23" s="50">
        <v>100</v>
      </c>
      <c r="I23" s="50">
        <v>500</v>
      </c>
      <c r="J23" s="50">
        <v>540</v>
      </c>
      <c r="K23" s="50">
        <v>800</v>
      </c>
      <c r="L23" s="50">
        <v>1060</v>
      </c>
      <c r="M23" s="50">
        <v>1900</v>
      </c>
      <c r="N23" s="50">
        <v>2350</v>
      </c>
      <c r="O23" s="50">
        <v>1700</v>
      </c>
      <c r="P23" s="50">
        <v>1900</v>
      </c>
      <c r="Q23" s="50">
        <v>2600</v>
      </c>
      <c r="R23" s="50">
        <v>2600</v>
      </c>
      <c r="S23" s="50">
        <v>700</v>
      </c>
      <c r="T23" s="50">
        <v>2400</v>
      </c>
      <c r="U23" s="50">
        <v>5950</v>
      </c>
      <c r="V23" s="50">
        <v>7100</v>
      </c>
      <c r="W23" s="141">
        <f t="shared" si="3"/>
        <v>4.3343653250773995E-2</v>
      </c>
      <c r="X23" s="141">
        <f t="shared" si="4"/>
        <v>0.14860681114551083</v>
      </c>
      <c r="Y23" s="141">
        <f t="shared" si="5"/>
        <v>0.36842105263157893</v>
      </c>
      <c r="Z23" s="141">
        <f t="shared" si="6"/>
        <v>0.43962848297213625</v>
      </c>
    </row>
    <row r="24" spans="1:26" ht="13.5">
      <c r="A24" s="509"/>
      <c r="B24" s="48" t="s">
        <v>41</v>
      </c>
      <c r="C24" s="49" t="s">
        <v>116</v>
      </c>
      <c r="D24" s="51">
        <f t="shared" si="16"/>
        <v>13400</v>
      </c>
      <c r="E24" s="51">
        <v>1</v>
      </c>
      <c r="F24" s="51">
        <f t="shared" si="8"/>
        <v>1116.6666666666667</v>
      </c>
      <c r="G24" s="50">
        <v>0</v>
      </c>
      <c r="H24" s="50">
        <v>0</v>
      </c>
      <c r="I24" s="50">
        <v>450</v>
      </c>
      <c r="J24" s="50">
        <v>1450</v>
      </c>
      <c r="K24" s="50">
        <v>1000</v>
      </c>
      <c r="L24" s="50">
        <v>1200</v>
      </c>
      <c r="M24" s="50">
        <v>1500</v>
      </c>
      <c r="N24" s="50">
        <v>1500</v>
      </c>
      <c r="O24" s="50">
        <v>1800</v>
      </c>
      <c r="P24" s="50">
        <v>1500</v>
      </c>
      <c r="Q24" s="50">
        <v>1500</v>
      </c>
      <c r="R24" s="50">
        <v>1500</v>
      </c>
      <c r="S24" s="50">
        <v>450</v>
      </c>
      <c r="T24" s="50">
        <v>3650</v>
      </c>
      <c r="U24" s="50">
        <v>4800</v>
      </c>
      <c r="V24" s="50">
        <v>4500</v>
      </c>
      <c r="W24" s="141">
        <f t="shared" si="3"/>
        <v>3.3582089552238806E-2</v>
      </c>
      <c r="X24" s="141">
        <f t="shared" si="4"/>
        <v>0.27238805970149255</v>
      </c>
      <c r="Y24" s="141">
        <f t="shared" si="5"/>
        <v>0.35820895522388058</v>
      </c>
      <c r="Z24" s="141">
        <f t="shared" si="6"/>
        <v>0.33582089552238809</v>
      </c>
    </row>
    <row r="25" spans="1:26" ht="19.5" customHeight="1">
      <c r="A25" s="508" t="s">
        <v>6</v>
      </c>
      <c r="B25" s="506" t="s">
        <v>115</v>
      </c>
      <c r="C25" s="507"/>
      <c r="D25" s="53">
        <f>D26+D27</f>
        <v>19200</v>
      </c>
      <c r="E25" s="53">
        <f t="shared" ref="E25:V25" si="30">E26+E27</f>
        <v>1</v>
      </c>
      <c r="F25" s="53">
        <f t="shared" si="30"/>
        <v>1600</v>
      </c>
      <c r="G25" s="53">
        <f>G26+G27</f>
        <v>1100</v>
      </c>
      <c r="H25" s="53">
        <f t="shared" ref="H25" si="31">H26+H27</f>
        <v>1100</v>
      </c>
      <c r="I25" s="53">
        <f t="shared" ref="I25" si="32">I26+I27</f>
        <v>1400</v>
      </c>
      <c r="J25" s="53">
        <f t="shared" ref="J25" si="33">J26+J27</f>
        <v>1600</v>
      </c>
      <c r="K25" s="53">
        <f t="shared" ref="K25" si="34">K26+K27</f>
        <v>1600</v>
      </c>
      <c r="L25" s="53">
        <f t="shared" ref="L25:R25" si="35">L26+L27</f>
        <v>1700</v>
      </c>
      <c r="M25" s="53">
        <f t="shared" si="35"/>
        <v>700</v>
      </c>
      <c r="N25" s="53">
        <f t="shared" si="35"/>
        <v>800</v>
      </c>
      <c r="O25" s="53">
        <f t="shared" si="35"/>
        <v>900</v>
      </c>
      <c r="P25" s="53">
        <f t="shared" si="35"/>
        <v>1100</v>
      </c>
      <c r="Q25" s="53">
        <f t="shared" si="35"/>
        <v>1700</v>
      </c>
      <c r="R25" s="53">
        <f t="shared" si="35"/>
        <v>1500</v>
      </c>
      <c r="S25" s="53">
        <v>1150</v>
      </c>
      <c r="T25" s="53">
        <v>6050</v>
      </c>
      <c r="U25" s="53">
        <v>10750</v>
      </c>
      <c r="V25" s="53">
        <v>11600</v>
      </c>
      <c r="W25" s="141">
        <f t="shared" si="3"/>
        <v>5.9895833333333336E-2</v>
      </c>
      <c r="X25" s="141">
        <f t="shared" si="4"/>
        <v>0.31510416666666669</v>
      </c>
      <c r="Y25" s="141">
        <f t="shared" si="5"/>
        <v>0.55989583333333337</v>
      </c>
      <c r="Z25" s="141">
        <f t="shared" si="6"/>
        <v>0.60416666666666663</v>
      </c>
    </row>
    <row r="26" spans="1:26" ht="13.5">
      <c r="A26" s="509"/>
      <c r="B26" s="505" t="s">
        <v>41</v>
      </c>
      <c r="C26" s="49" t="s">
        <v>116</v>
      </c>
      <c r="D26" s="51">
        <v>19200</v>
      </c>
      <c r="E26" s="125">
        <v>1</v>
      </c>
      <c r="F26" s="51">
        <v>1600</v>
      </c>
      <c r="G26" s="50">
        <v>1100</v>
      </c>
      <c r="H26" s="50">
        <v>1100</v>
      </c>
      <c r="I26" s="50">
        <v>1400</v>
      </c>
      <c r="J26" s="50">
        <v>1600</v>
      </c>
      <c r="K26" s="50">
        <v>1600</v>
      </c>
      <c r="L26" s="50">
        <v>1700</v>
      </c>
      <c r="M26" s="50">
        <v>700</v>
      </c>
      <c r="N26" s="50">
        <v>800</v>
      </c>
      <c r="O26" s="50">
        <v>900</v>
      </c>
      <c r="P26" s="50">
        <v>1100</v>
      </c>
      <c r="Q26" s="50">
        <v>1700</v>
      </c>
      <c r="R26" s="50">
        <v>1500</v>
      </c>
      <c r="S26" s="50">
        <v>700</v>
      </c>
      <c r="T26" s="50">
        <v>2400</v>
      </c>
      <c r="U26" s="50">
        <v>5950</v>
      </c>
      <c r="V26" s="50">
        <v>7100</v>
      </c>
      <c r="W26" s="141">
        <f t="shared" si="3"/>
        <v>3.6458333333333336E-2</v>
      </c>
      <c r="X26" s="141">
        <f t="shared" si="4"/>
        <v>0.125</v>
      </c>
      <c r="Y26" s="141">
        <f t="shared" si="5"/>
        <v>0.30989583333333331</v>
      </c>
      <c r="Z26" s="141">
        <f t="shared" si="6"/>
        <v>0.36979166666666669</v>
      </c>
    </row>
    <row r="27" spans="1:26" ht="13.5" customHeight="1">
      <c r="A27" s="510"/>
      <c r="B27" s="505"/>
      <c r="C27" s="49" t="s">
        <v>117</v>
      </c>
      <c r="D27" s="51"/>
      <c r="E27" s="125"/>
      <c r="F27" s="51"/>
      <c r="G27" s="50"/>
      <c r="H27" s="50"/>
      <c r="I27" s="50"/>
      <c r="J27" s="50"/>
      <c r="K27" s="50"/>
      <c r="L27" s="50"/>
      <c r="S27" s="50">
        <v>450</v>
      </c>
      <c r="T27" s="50">
        <v>3650</v>
      </c>
      <c r="U27" s="50">
        <v>4800</v>
      </c>
      <c r="V27" s="50">
        <v>4500</v>
      </c>
    </row>
    <row r="28" spans="1:26" ht="13.5"/>
    <row r="29" spans="1:26" ht="13.5">
      <c r="D29" t="s">
        <v>7</v>
      </c>
      <c r="G29" s="195">
        <v>21029</v>
      </c>
      <c r="H29" s="195">
        <v>15352</v>
      </c>
      <c r="I29" s="195">
        <v>22680</v>
      </c>
      <c r="J29" s="195">
        <v>23335</v>
      </c>
      <c r="K29" s="195">
        <v>24491</v>
      </c>
      <c r="L29" s="195">
        <v>28380</v>
      </c>
      <c r="M29" s="195">
        <v>28802</v>
      </c>
      <c r="N29" s="195">
        <v>30849</v>
      </c>
      <c r="O29" s="195">
        <v>29315</v>
      </c>
      <c r="P29" s="195">
        <v>32241</v>
      </c>
      <c r="Q29" s="195">
        <v>37012</v>
      </c>
      <c r="R29" s="195">
        <v>36514</v>
      </c>
    </row>
    <row r="30" spans="1:26" ht="13.5">
      <c r="D30" t="s">
        <v>8</v>
      </c>
      <c r="G30" s="195">
        <v>7804.2619655210892</v>
      </c>
      <c r="H30" s="195">
        <v>8909.539850660196</v>
      </c>
      <c r="I30" s="195">
        <v>8846.0641672941401</v>
      </c>
      <c r="J30" s="195">
        <v>10780.997292648875</v>
      </c>
      <c r="K30" s="195">
        <v>9044.9499407166168</v>
      </c>
      <c r="L30" s="195">
        <v>8431.0908932824732</v>
      </c>
      <c r="M30" s="195">
        <v>10007.251665515369</v>
      </c>
      <c r="N30" s="195">
        <v>9130.2199575495142</v>
      </c>
      <c r="O30" s="195">
        <v>8146.0104685155729</v>
      </c>
      <c r="P30" s="195">
        <v>10870.053804702518</v>
      </c>
      <c r="Q30" s="195">
        <v>15027.517081398399</v>
      </c>
      <c r="R30" s="195">
        <v>13039.553532170605</v>
      </c>
    </row>
    <row r="31" spans="1:26" ht="13.5">
      <c r="D31" t="s">
        <v>5</v>
      </c>
      <c r="G31" s="195">
        <v>7212</v>
      </c>
      <c r="H31" s="195">
        <v>6513</v>
      </c>
      <c r="I31" s="195">
        <v>8066</v>
      </c>
      <c r="J31" s="195">
        <v>8034</v>
      </c>
      <c r="K31" s="195">
        <v>8303</v>
      </c>
      <c r="L31" s="195">
        <v>10047</v>
      </c>
      <c r="M31" s="195">
        <v>10411</v>
      </c>
      <c r="N31" s="195">
        <v>10662</v>
      </c>
      <c r="O31" s="195">
        <v>9786</v>
      </c>
      <c r="P31" s="195">
        <v>11805</v>
      </c>
      <c r="Q31" s="195">
        <v>11551</v>
      </c>
      <c r="R31" s="195">
        <v>11609</v>
      </c>
    </row>
    <row r="32" spans="1:26" ht="13.5">
      <c r="D32" t="s">
        <v>10</v>
      </c>
      <c r="G32" s="195">
        <v>100</v>
      </c>
      <c r="H32" s="195">
        <v>100</v>
      </c>
      <c r="I32" s="195">
        <v>950</v>
      </c>
      <c r="J32" s="195">
        <v>1990</v>
      </c>
      <c r="K32" s="195">
        <v>1800</v>
      </c>
      <c r="L32" s="195">
        <v>2260</v>
      </c>
      <c r="M32" s="195">
        <v>3400</v>
      </c>
      <c r="N32" s="195">
        <v>3850</v>
      </c>
      <c r="O32" s="195">
        <v>3500</v>
      </c>
      <c r="P32" s="195">
        <v>3400</v>
      </c>
      <c r="Q32" s="195">
        <v>4100</v>
      </c>
      <c r="R32" s="195">
        <v>4100</v>
      </c>
    </row>
    <row r="33" spans="1:18" ht="13.5">
      <c r="D33" t="s">
        <v>6</v>
      </c>
      <c r="G33" s="195">
        <v>1100</v>
      </c>
      <c r="H33" s="195">
        <v>1100</v>
      </c>
      <c r="I33" s="195">
        <v>1400</v>
      </c>
      <c r="J33" s="195">
        <v>1600</v>
      </c>
      <c r="K33" s="195">
        <v>1600</v>
      </c>
      <c r="L33" s="195">
        <v>1700</v>
      </c>
      <c r="M33" s="195">
        <v>1800</v>
      </c>
      <c r="N33" s="195">
        <v>1800</v>
      </c>
      <c r="O33" s="195">
        <v>1800</v>
      </c>
      <c r="P33" s="195">
        <v>1800</v>
      </c>
      <c r="Q33" s="195">
        <v>1800</v>
      </c>
      <c r="R33" s="195">
        <v>1700</v>
      </c>
    </row>
    <row r="35" spans="1:18" ht="13.5">
      <c r="G35" s="46">
        <f>G29/10^9</f>
        <v>2.1029000000000001E-5</v>
      </c>
      <c r="H35" s="46">
        <f t="shared" ref="H35:R35" si="36">H29/10^9</f>
        <v>1.5352000000000001E-5</v>
      </c>
      <c r="I35" s="46">
        <f t="shared" si="36"/>
        <v>2.268E-5</v>
      </c>
      <c r="J35" s="46">
        <f t="shared" si="36"/>
        <v>2.3334999999999999E-5</v>
      </c>
      <c r="K35" s="46">
        <f t="shared" si="36"/>
        <v>2.4491E-5</v>
      </c>
      <c r="L35" s="46">
        <f t="shared" si="36"/>
        <v>2.8379999999999999E-5</v>
      </c>
      <c r="M35" s="46">
        <f t="shared" si="36"/>
        <v>2.8802E-5</v>
      </c>
      <c r="N35" s="46">
        <f t="shared" si="36"/>
        <v>3.0849000000000002E-5</v>
      </c>
      <c r="O35" s="46">
        <f t="shared" si="36"/>
        <v>2.9315E-5</v>
      </c>
      <c r="P35" s="46">
        <f t="shared" si="36"/>
        <v>3.2240999999999998E-5</v>
      </c>
      <c r="Q35" s="46">
        <f t="shared" si="36"/>
        <v>3.7011999999999997E-5</v>
      </c>
      <c r="R35" s="46">
        <f t="shared" si="36"/>
        <v>3.6514000000000003E-5</v>
      </c>
    </row>
    <row r="36" spans="1:18" ht="13.5">
      <c r="G36" s="46">
        <f t="shared" ref="G36:R36" si="37">G30/10^9</f>
        <v>7.8042619655210887E-6</v>
      </c>
      <c r="H36" s="46">
        <f t="shared" si="37"/>
        <v>8.9095398506601965E-6</v>
      </c>
      <c r="I36" s="46">
        <f t="shared" si="37"/>
        <v>8.8460641672941398E-6</v>
      </c>
      <c r="J36" s="46">
        <f t="shared" si="37"/>
        <v>1.0780997292648876E-5</v>
      </c>
      <c r="K36" s="46">
        <f t="shared" si="37"/>
        <v>9.0449499407166169E-6</v>
      </c>
      <c r="L36" s="46">
        <f t="shared" si="37"/>
        <v>8.4310908932824731E-6</v>
      </c>
      <c r="M36" s="46">
        <f t="shared" si="37"/>
        <v>1.0007251665515368E-5</v>
      </c>
      <c r="N36" s="46">
        <f t="shared" si="37"/>
        <v>9.1302199575495149E-6</v>
      </c>
      <c r="O36" s="46">
        <f t="shared" si="37"/>
        <v>8.1460104685155736E-6</v>
      </c>
      <c r="P36" s="46">
        <f t="shared" si="37"/>
        <v>1.0870053804702519E-5</v>
      </c>
      <c r="Q36" s="46">
        <f t="shared" si="37"/>
        <v>1.5027517081398399E-5</v>
      </c>
      <c r="R36" s="46">
        <f t="shared" si="37"/>
        <v>1.3039553532170605E-5</v>
      </c>
    </row>
    <row r="37" spans="1:18" ht="13.5">
      <c r="G37" s="46">
        <f t="shared" ref="G37:R37" si="38">G31/10^9</f>
        <v>7.2119999999999997E-6</v>
      </c>
      <c r="H37" s="46">
        <f t="shared" si="38"/>
        <v>6.5130000000000002E-6</v>
      </c>
      <c r="I37" s="46">
        <f t="shared" si="38"/>
        <v>8.0660000000000004E-6</v>
      </c>
      <c r="J37" s="46">
        <f t="shared" si="38"/>
        <v>8.0339999999999997E-6</v>
      </c>
      <c r="K37" s="46">
        <f t="shared" si="38"/>
        <v>8.303E-6</v>
      </c>
      <c r="L37" s="46">
        <f t="shared" si="38"/>
        <v>1.0047000000000001E-5</v>
      </c>
      <c r="M37" s="46">
        <f t="shared" si="38"/>
        <v>1.0411000000000001E-5</v>
      </c>
      <c r="N37" s="46">
        <f t="shared" si="38"/>
        <v>1.0662000000000001E-5</v>
      </c>
      <c r="O37" s="46">
        <f t="shared" si="38"/>
        <v>9.7860000000000008E-6</v>
      </c>
      <c r="P37" s="46">
        <f t="shared" si="38"/>
        <v>1.1805E-5</v>
      </c>
      <c r="Q37" s="46">
        <f t="shared" si="38"/>
        <v>1.1551E-5</v>
      </c>
      <c r="R37" s="46">
        <f t="shared" si="38"/>
        <v>1.1609E-5</v>
      </c>
    </row>
    <row r="38" spans="1:18" ht="13.5">
      <c r="G38" s="46">
        <f t="shared" ref="G38:R38" si="39">G32/10^9</f>
        <v>9.9999999999999995E-8</v>
      </c>
      <c r="H38" s="46">
        <f t="shared" si="39"/>
        <v>9.9999999999999995E-8</v>
      </c>
      <c r="I38" s="46">
        <f t="shared" si="39"/>
        <v>9.5000000000000001E-7</v>
      </c>
      <c r="J38" s="46">
        <f t="shared" si="39"/>
        <v>1.99E-6</v>
      </c>
      <c r="K38" s="46">
        <f t="shared" si="39"/>
        <v>1.7999999999999999E-6</v>
      </c>
      <c r="L38" s="46">
        <f t="shared" si="39"/>
        <v>2.26E-6</v>
      </c>
      <c r="M38" s="46">
        <f t="shared" si="39"/>
        <v>3.4000000000000001E-6</v>
      </c>
      <c r="N38" s="46">
        <f t="shared" si="39"/>
        <v>3.8500000000000004E-6</v>
      </c>
      <c r="O38" s="46">
        <f t="shared" si="39"/>
        <v>3.4999999999999999E-6</v>
      </c>
      <c r="P38" s="46">
        <f t="shared" si="39"/>
        <v>3.4000000000000001E-6</v>
      </c>
      <c r="Q38" s="46">
        <f t="shared" si="39"/>
        <v>4.0999999999999997E-6</v>
      </c>
      <c r="R38" s="46">
        <f t="shared" si="39"/>
        <v>4.0999999999999997E-6</v>
      </c>
    </row>
    <row r="39" spans="1:18" ht="13.5">
      <c r="G39" s="46">
        <f t="shared" ref="G39:R39" si="40">G33/10^9</f>
        <v>1.1000000000000001E-6</v>
      </c>
      <c r="H39" s="46">
        <f t="shared" si="40"/>
        <v>1.1000000000000001E-6</v>
      </c>
      <c r="I39" s="46">
        <f t="shared" si="40"/>
        <v>1.3999999999999999E-6</v>
      </c>
      <c r="J39" s="46">
        <f t="shared" si="40"/>
        <v>1.5999999999999999E-6</v>
      </c>
      <c r="K39" s="46">
        <f t="shared" si="40"/>
        <v>1.5999999999999999E-6</v>
      </c>
      <c r="L39" s="46">
        <f t="shared" si="40"/>
        <v>1.7E-6</v>
      </c>
      <c r="M39" s="46">
        <f t="shared" si="40"/>
        <v>1.7999999999999999E-6</v>
      </c>
      <c r="N39" s="46">
        <f t="shared" si="40"/>
        <v>1.7999999999999999E-6</v>
      </c>
      <c r="O39" s="46">
        <f t="shared" si="40"/>
        <v>1.7999999999999999E-6</v>
      </c>
      <c r="P39" s="46">
        <f t="shared" si="40"/>
        <v>1.7999999999999999E-6</v>
      </c>
      <c r="Q39" s="46">
        <f t="shared" si="40"/>
        <v>1.7999999999999999E-6</v>
      </c>
      <c r="R39" s="46">
        <f t="shared" si="40"/>
        <v>1.7E-6</v>
      </c>
    </row>
    <row r="40" spans="1:18" ht="13.5">
      <c r="G40" s="46">
        <f t="shared" ref="G40:R40" si="41">G34/10^9</f>
        <v>0</v>
      </c>
      <c r="H40" s="46">
        <f t="shared" si="41"/>
        <v>0</v>
      </c>
      <c r="I40" s="46">
        <f t="shared" si="41"/>
        <v>0</v>
      </c>
      <c r="J40" s="46">
        <f t="shared" si="41"/>
        <v>0</v>
      </c>
      <c r="K40" s="46">
        <f t="shared" si="41"/>
        <v>0</v>
      </c>
      <c r="L40" s="46">
        <f t="shared" si="41"/>
        <v>0</v>
      </c>
      <c r="M40" s="46">
        <f t="shared" si="41"/>
        <v>0</v>
      </c>
      <c r="N40" s="46">
        <f t="shared" si="41"/>
        <v>0</v>
      </c>
      <c r="O40" s="46">
        <f t="shared" si="41"/>
        <v>0</v>
      </c>
      <c r="P40" s="46">
        <f t="shared" si="41"/>
        <v>0</v>
      </c>
      <c r="Q40" s="46">
        <f t="shared" si="41"/>
        <v>0</v>
      </c>
      <c r="R40" s="46">
        <f t="shared" si="41"/>
        <v>0</v>
      </c>
    </row>
    <row r="42" spans="1:18" ht="14.25" customHeight="1">
      <c r="J42" s="46">
        <f>D8/D2</f>
        <v>0.5385553447651843</v>
      </c>
    </row>
    <row r="43" spans="1:18" ht="14.25" customHeight="1">
      <c r="A43" s="47" t="s">
        <v>118</v>
      </c>
      <c r="J43" s="46">
        <f>D17/D2</f>
        <v>0.18604639182797275</v>
      </c>
    </row>
    <row r="44" spans="1:18" ht="14.25" customHeight="1">
      <c r="A44" s="201" t="s">
        <v>119</v>
      </c>
      <c r="B44" s="202" t="s">
        <v>120</v>
      </c>
      <c r="C44" s="202" t="s">
        <v>121</v>
      </c>
      <c r="D44" s="202" t="s">
        <v>122</v>
      </c>
      <c r="E44" s="202" t="s">
        <v>123</v>
      </c>
      <c r="F44" s="202" t="s">
        <v>124</v>
      </c>
      <c r="G44" s="202" t="s">
        <v>125</v>
      </c>
      <c r="H44" s="203" t="s">
        <v>126</v>
      </c>
      <c r="J44" s="46">
        <f>D14/D2</f>
        <v>0.19583895111198626</v>
      </c>
    </row>
    <row r="45" spans="1:18" ht="14.25" customHeight="1">
      <c r="A45" s="204" t="s">
        <v>127</v>
      </c>
      <c r="B45" s="205" t="s">
        <v>128</v>
      </c>
      <c r="C45" s="205" t="s">
        <v>129</v>
      </c>
      <c r="D45" s="205" t="s">
        <v>130</v>
      </c>
      <c r="E45" s="205" t="s">
        <v>131</v>
      </c>
      <c r="F45" s="205" t="s">
        <v>131</v>
      </c>
      <c r="G45" s="205" t="s">
        <v>132</v>
      </c>
      <c r="H45" s="206" t="s">
        <v>133</v>
      </c>
    </row>
    <row r="46" spans="1:18" ht="14.25" customHeight="1">
      <c r="A46" s="207" t="s">
        <v>134</v>
      </c>
      <c r="B46" s="208" t="s">
        <v>135</v>
      </c>
      <c r="C46" s="208" t="s">
        <v>136</v>
      </c>
      <c r="D46" s="208" t="s">
        <v>137</v>
      </c>
      <c r="E46" s="208" t="s">
        <v>138</v>
      </c>
      <c r="F46" s="208" t="s">
        <v>138</v>
      </c>
      <c r="G46" s="208" t="s">
        <v>139</v>
      </c>
      <c r="H46" s="209" t="s">
        <v>140</v>
      </c>
    </row>
    <row r="47" spans="1:18" ht="14.25" customHeight="1">
      <c r="A47" s="210" t="s">
        <v>141</v>
      </c>
      <c r="B47" s="211" t="s">
        <v>142</v>
      </c>
      <c r="C47" s="211" t="s">
        <v>143</v>
      </c>
      <c r="D47" s="211" t="s">
        <v>144</v>
      </c>
      <c r="E47" s="211" t="s">
        <v>145</v>
      </c>
      <c r="F47" s="211" t="s">
        <v>145</v>
      </c>
      <c r="G47" s="211" t="s">
        <v>146</v>
      </c>
      <c r="H47" s="212" t="s">
        <v>147</v>
      </c>
    </row>
    <row r="48" spans="1:18" ht="14.25" customHeight="1">
      <c r="A48" s="207" t="s">
        <v>148</v>
      </c>
      <c r="B48" s="208" t="s">
        <v>149</v>
      </c>
      <c r="C48" s="208" t="s">
        <v>149</v>
      </c>
      <c r="D48" s="208" t="s">
        <v>149</v>
      </c>
      <c r="E48" s="208" t="s">
        <v>149</v>
      </c>
      <c r="F48" s="208" t="s">
        <v>149</v>
      </c>
      <c r="G48" s="208" t="s">
        <v>149</v>
      </c>
      <c r="H48" s="209" t="s">
        <v>150</v>
      </c>
    </row>
    <row r="49" spans="1:8" ht="14.25" customHeight="1">
      <c r="A49" s="210" t="s">
        <v>151</v>
      </c>
      <c r="B49" s="223" t="s">
        <v>152</v>
      </c>
      <c r="C49" s="223" t="s">
        <v>153</v>
      </c>
      <c r="D49" s="223" t="s">
        <v>154</v>
      </c>
      <c r="E49" s="223" t="s">
        <v>155</v>
      </c>
      <c r="F49" s="223" t="s">
        <v>156</v>
      </c>
      <c r="G49" s="223" t="s">
        <v>157</v>
      </c>
      <c r="H49" s="224" t="s">
        <v>158</v>
      </c>
    </row>
    <row r="50" spans="1:8" ht="14.25" customHeight="1">
      <c r="A50" s="207" t="s">
        <v>159</v>
      </c>
      <c r="B50" s="208" t="s">
        <v>160</v>
      </c>
      <c r="C50" s="208" t="s">
        <v>161</v>
      </c>
      <c r="D50" s="208" t="s">
        <v>162</v>
      </c>
      <c r="E50" s="208" t="s">
        <v>163</v>
      </c>
      <c r="F50" s="208" t="s">
        <v>164</v>
      </c>
      <c r="G50" s="208" t="s">
        <v>165</v>
      </c>
      <c r="H50" s="209" t="s">
        <v>166</v>
      </c>
    </row>
    <row r="51" spans="1:8" ht="14.25" customHeight="1">
      <c r="A51" s="213" t="s">
        <v>167</v>
      </c>
      <c r="B51" s="214" t="s">
        <v>167</v>
      </c>
      <c r="C51" s="214" t="s">
        <v>167</v>
      </c>
      <c r="D51" s="214" t="s">
        <v>167</v>
      </c>
      <c r="E51" s="214" t="s">
        <v>167</v>
      </c>
      <c r="F51" s="214" t="s">
        <v>167</v>
      </c>
      <c r="G51" s="214" t="s">
        <v>167</v>
      </c>
      <c r="H51" s="215" t="s">
        <v>167</v>
      </c>
    </row>
    <row r="52" spans="1:8" ht="14.25" customHeight="1">
      <c r="A52" s="216" t="s">
        <v>151</v>
      </c>
      <c r="B52" s="214" t="s">
        <v>167</v>
      </c>
      <c r="C52" s="214" t="s">
        <v>167</v>
      </c>
      <c r="D52" s="214" t="s">
        <v>167</v>
      </c>
      <c r="E52" s="214" t="s">
        <v>167</v>
      </c>
      <c r="F52" s="214" t="s">
        <v>167</v>
      </c>
      <c r="G52" s="214" t="s">
        <v>167</v>
      </c>
      <c r="H52" s="215" t="s">
        <v>167</v>
      </c>
    </row>
    <row r="53" spans="1:8" ht="14.25" customHeight="1">
      <c r="A53" s="217" t="s">
        <v>119</v>
      </c>
      <c r="B53" s="218" t="s">
        <v>120</v>
      </c>
      <c r="C53" s="218" t="s">
        <v>121</v>
      </c>
      <c r="D53" s="218" t="s">
        <v>122</v>
      </c>
      <c r="E53" s="218" t="s">
        <v>123</v>
      </c>
      <c r="F53" s="218" t="s">
        <v>124</v>
      </c>
      <c r="G53" s="218" t="s">
        <v>125</v>
      </c>
      <c r="H53" s="219" t="s">
        <v>126</v>
      </c>
    </row>
    <row r="54" spans="1:8" ht="14.25" customHeight="1">
      <c r="A54" s="207" t="s">
        <v>134</v>
      </c>
      <c r="B54" s="208" t="s">
        <v>168</v>
      </c>
      <c r="C54" s="208" t="s">
        <v>169</v>
      </c>
      <c r="D54" s="208" t="s">
        <v>170</v>
      </c>
      <c r="E54" s="208" t="s">
        <v>171</v>
      </c>
      <c r="F54" s="208" t="s">
        <v>172</v>
      </c>
      <c r="G54" s="208" t="s">
        <v>173</v>
      </c>
      <c r="H54" s="209" t="s">
        <v>174</v>
      </c>
    </row>
    <row r="55" spans="1:8" ht="14.25" customHeight="1">
      <c r="A55" s="210" t="s">
        <v>141</v>
      </c>
      <c r="B55" s="211" t="s">
        <v>175</v>
      </c>
      <c r="C55" s="211" t="s">
        <v>175</v>
      </c>
      <c r="D55" s="211" t="s">
        <v>176</v>
      </c>
      <c r="E55" s="211" t="s">
        <v>144</v>
      </c>
      <c r="F55" s="211" t="s">
        <v>142</v>
      </c>
      <c r="G55" s="211" t="s">
        <v>175</v>
      </c>
      <c r="H55" s="212" t="s">
        <v>177</v>
      </c>
    </row>
    <row r="56" spans="1:8" ht="14.25" customHeight="1">
      <c r="A56" s="207" t="s">
        <v>148</v>
      </c>
      <c r="B56" s="208" t="s">
        <v>149</v>
      </c>
      <c r="C56" s="208" t="s">
        <v>149</v>
      </c>
      <c r="D56" s="208" t="s">
        <v>149</v>
      </c>
      <c r="E56" s="208" t="s">
        <v>149</v>
      </c>
      <c r="F56" s="208" t="s">
        <v>149</v>
      </c>
      <c r="G56" s="208" t="s">
        <v>149</v>
      </c>
      <c r="H56" s="209" t="s">
        <v>150</v>
      </c>
    </row>
    <row r="57" spans="1:8" ht="14.25" customHeight="1">
      <c r="A57" s="210" t="s">
        <v>178</v>
      </c>
      <c r="B57" s="211" t="s">
        <v>152</v>
      </c>
      <c r="C57" s="211" t="s">
        <v>153</v>
      </c>
      <c r="D57" s="211" t="s">
        <v>154</v>
      </c>
      <c r="E57" s="211" t="s">
        <v>155</v>
      </c>
      <c r="F57" s="211" t="s">
        <v>156</v>
      </c>
      <c r="G57" s="211" t="s">
        <v>157</v>
      </c>
      <c r="H57" s="212" t="s">
        <v>158</v>
      </c>
    </row>
    <row r="58" spans="1:8" ht="14.25" customHeight="1">
      <c r="A58" s="213" t="s">
        <v>167</v>
      </c>
      <c r="B58" s="214" t="s">
        <v>167</v>
      </c>
      <c r="C58" s="214" t="s">
        <v>167</v>
      </c>
      <c r="D58" s="214" t="s">
        <v>167</v>
      </c>
      <c r="E58" s="214" t="s">
        <v>167</v>
      </c>
      <c r="F58" s="214" t="s">
        <v>167</v>
      </c>
      <c r="G58" s="214" t="s">
        <v>167</v>
      </c>
      <c r="H58" s="215" t="s">
        <v>167</v>
      </c>
    </row>
    <row r="59" spans="1:8" ht="14.25" customHeight="1">
      <c r="A59" s="216" t="s">
        <v>159</v>
      </c>
      <c r="B59" s="214" t="s">
        <v>167</v>
      </c>
      <c r="C59" s="214" t="s">
        <v>167</v>
      </c>
      <c r="D59" s="214" t="s">
        <v>167</v>
      </c>
      <c r="E59" s="214" t="s">
        <v>167</v>
      </c>
      <c r="F59" s="214" t="s">
        <v>167</v>
      </c>
      <c r="G59" s="214" t="s">
        <v>167</v>
      </c>
      <c r="H59" s="215" t="s">
        <v>167</v>
      </c>
    </row>
    <row r="60" spans="1:8" ht="14.25" customHeight="1">
      <c r="A60" s="217" t="s">
        <v>119</v>
      </c>
      <c r="B60" s="218" t="s">
        <v>120</v>
      </c>
      <c r="C60" s="218" t="s">
        <v>121</v>
      </c>
      <c r="D60" s="218" t="s">
        <v>122</v>
      </c>
      <c r="E60" s="218" t="s">
        <v>123</v>
      </c>
      <c r="F60" s="218" t="s">
        <v>124</v>
      </c>
      <c r="G60" s="218" t="s">
        <v>125</v>
      </c>
      <c r="H60" s="219" t="s">
        <v>126</v>
      </c>
    </row>
    <row r="61" spans="1:8" ht="14.25" customHeight="1">
      <c r="A61" s="207" t="s">
        <v>134</v>
      </c>
      <c r="B61" s="208" t="s">
        <v>179</v>
      </c>
      <c r="C61" s="208" t="s">
        <v>180</v>
      </c>
      <c r="D61" s="208" t="s">
        <v>181</v>
      </c>
      <c r="E61" s="208" t="s">
        <v>147</v>
      </c>
      <c r="F61" s="208" t="s">
        <v>182</v>
      </c>
      <c r="G61" s="208" t="s">
        <v>183</v>
      </c>
      <c r="H61" s="209" t="s">
        <v>184</v>
      </c>
    </row>
    <row r="62" spans="1:8" ht="14.25" customHeight="1">
      <c r="A62" s="210" t="s">
        <v>141</v>
      </c>
      <c r="B62" s="211" t="s">
        <v>185</v>
      </c>
      <c r="C62" s="211" t="s">
        <v>185</v>
      </c>
      <c r="D62" s="211" t="s">
        <v>185</v>
      </c>
      <c r="E62" s="211" t="s">
        <v>186</v>
      </c>
      <c r="F62" s="211" t="s">
        <v>187</v>
      </c>
      <c r="G62" s="211" t="s">
        <v>187</v>
      </c>
      <c r="H62" s="212" t="s">
        <v>188</v>
      </c>
    </row>
    <row r="63" spans="1:8" ht="14.25" customHeight="1">
      <c r="A63" s="207" t="s">
        <v>148</v>
      </c>
      <c r="B63" s="208" t="s">
        <v>149</v>
      </c>
      <c r="C63" s="208" t="s">
        <v>149</v>
      </c>
      <c r="D63" s="208" t="s">
        <v>149</v>
      </c>
      <c r="E63" s="208" t="s">
        <v>149</v>
      </c>
      <c r="F63" s="208" t="s">
        <v>149</v>
      </c>
      <c r="G63" s="208" t="s">
        <v>149</v>
      </c>
      <c r="H63" s="209" t="s">
        <v>150</v>
      </c>
    </row>
    <row r="64" spans="1:8" ht="14.25" customHeight="1">
      <c r="A64" s="220" t="s">
        <v>189</v>
      </c>
      <c r="B64" s="221" t="s">
        <v>160</v>
      </c>
      <c r="C64" s="221" t="s">
        <v>161</v>
      </c>
      <c r="D64" s="221" t="s">
        <v>162</v>
      </c>
      <c r="E64" s="221" t="s">
        <v>163</v>
      </c>
      <c r="F64" s="221" t="s">
        <v>164</v>
      </c>
      <c r="G64" s="221" t="s">
        <v>165</v>
      </c>
      <c r="H64" s="222" t="s">
        <v>190</v>
      </c>
    </row>
    <row r="66" spans="1:22" ht="14.25" customHeight="1">
      <c r="A66" s="47" t="s">
        <v>191</v>
      </c>
    </row>
    <row r="67" spans="1:22" ht="14.25" customHeight="1">
      <c r="A67" s="506" t="s">
        <v>115</v>
      </c>
      <c r="B67" s="507"/>
      <c r="C67" s="49" t="s">
        <v>116</v>
      </c>
      <c r="D67" s="51">
        <v>19200</v>
      </c>
      <c r="E67" s="125">
        <v>1</v>
      </c>
      <c r="F67" s="51">
        <v>1600</v>
      </c>
      <c r="G67" s="50">
        <v>1100</v>
      </c>
      <c r="H67" s="50">
        <v>1100</v>
      </c>
      <c r="I67" s="50">
        <v>1400</v>
      </c>
      <c r="J67" s="50">
        <v>1600</v>
      </c>
      <c r="K67" s="50">
        <v>1600</v>
      </c>
      <c r="L67" s="50">
        <v>1700</v>
      </c>
      <c r="M67" s="50">
        <v>3300</v>
      </c>
      <c r="N67" s="50">
        <v>1800</v>
      </c>
      <c r="O67" s="50">
        <v>1800</v>
      </c>
      <c r="P67" s="50">
        <v>1800</v>
      </c>
      <c r="Q67" s="50">
        <v>1800</v>
      </c>
      <c r="R67" s="50">
        <v>1700</v>
      </c>
      <c r="S67" s="50">
        <v>3600</v>
      </c>
      <c r="T67" s="50">
        <v>4900</v>
      </c>
      <c r="U67" s="50">
        <v>5400</v>
      </c>
      <c r="V67" s="50">
        <v>5300</v>
      </c>
    </row>
  </sheetData>
  <mergeCells count="20">
    <mergeCell ref="B6:B7"/>
    <mergeCell ref="A2:A7"/>
    <mergeCell ref="B2:C2"/>
    <mergeCell ref="A8:A13"/>
    <mergeCell ref="B8:C8"/>
    <mergeCell ref="B12:B13"/>
    <mergeCell ref="B9:B11"/>
    <mergeCell ref="B3:B5"/>
    <mergeCell ref="A17:A21"/>
    <mergeCell ref="A14:A16"/>
    <mergeCell ref="B18:B19"/>
    <mergeCell ref="B20:B21"/>
    <mergeCell ref="B14:C14"/>
    <mergeCell ref="B17:C17"/>
    <mergeCell ref="B26:B27"/>
    <mergeCell ref="B25:C25"/>
    <mergeCell ref="A25:A27"/>
    <mergeCell ref="A67:B67"/>
    <mergeCell ref="B22:C22"/>
    <mergeCell ref="A22:A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8"/>
  <sheetViews>
    <sheetView workbookViewId="0">
      <selection activeCell="F13" sqref="F13"/>
    </sheetView>
  </sheetViews>
  <sheetFormatPr defaultRowHeight="13.5"/>
  <cols>
    <col min="1" max="1" width="1.25" customWidth="1"/>
    <col min="2" max="2" width="11.125" customWidth="1"/>
    <col min="3" max="3" width="17.5" customWidth="1"/>
    <col min="4" max="4" width="19.125" customWidth="1"/>
    <col min="5" max="5" width="26.75" customWidth="1"/>
    <col min="6" max="6" width="21.375" customWidth="1"/>
    <col min="7" max="7" width="16.625" customWidth="1"/>
    <col min="8" max="8" width="24.5" customWidth="1"/>
    <col min="9" max="9" width="22" customWidth="1"/>
  </cols>
  <sheetData>
    <row r="2" spans="2:9" ht="18">
      <c r="B2" s="6">
        <v>2025</v>
      </c>
      <c r="C2" s="7" t="s">
        <v>192</v>
      </c>
      <c r="D2" s="8"/>
      <c r="E2" s="8"/>
      <c r="F2" s="8"/>
      <c r="G2" s="8"/>
      <c r="H2" s="8"/>
      <c r="I2" s="8"/>
    </row>
    <row r="3" spans="2:9" ht="15">
      <c r="B3" s="9" t="s">
        <v>193</v>
      </c>
      <c r="C3" s="10" t="s">
        <v>194</v>
      </c>
      <c r="D3" s="10" t="s">
        <v>195</v>
      </c>
      <c r="E3" s="10" t="s">
        <v>196</v>
      </c>
      <c r="F3" s="10" t="s">
        <v>197</v>
      </c>
      <c r="G3" s="11" t="s">
        <v>198</v>
      </c>
      <c r="H3" s="12" t="s">
        <v>199</v>
      </c>
      <c r="I3" s="8"/>
    </row>
    <row r="4" spans="2:9" ht="15">
      <c r="B4" s="13" t="s">
        <v>7</v>
      </c>
      <c r="C4" s="14" t="s">
        <v>200</v>
      </c>
      <c r="D4" s="14" t="s">
        <v>201</v>
      </c>
      <c r="E4" s="15" t="s">
        <v>202</v>
      </c>
      <c r="F4" s="15" t="s">
        <v>203</v>
      </c>
      <c r="G4" s="15" t="s">
        <v>204</v>
      </c>
      <c r="H4" s="16" t="s">
        <v>205</v>
      </c>
      <c r="I4" s="17" t="s">
        <v>206</v>
      </c>
    </row>
    <row r="5" spans="2:9" ht="15">
      <c r="B5" s="13" t="s">
        <v>6</v>
      </c>
      <c r="C5" s="18" t="s">
        <v>207</v>
      </c>
      <c r="D5" s="18" t="s">
        <v>201</v>
      </c>
      <c r="E5" s="19" t="s">
        <v>208</v>
      </c>
      <c r="F5" s="14"/>
      <c r="G5" s="14"/>
      <c r="H5" s="20"/>
      <c r="I5" s="17"/>
    </row>
    <row r="6" spans="2:9" ht="15">
      <c r="B6" s="13" t="s">
        <v>10</v>
      </c>
      <c r="C6" s="14" t="s">
        <v>209</v>
      </c>
      <c r="D6" s="14" t="s">
        <v>210</v>
      </c>
      <c r="E6" s="14" t="s">
        <v>211</v>
      </c>
      <c r="F6" s="14" t="s">
        <v>212</v>
      </c>
      <c r="G6" s="21" t="s">
        <v>201</v>
      </c>
      <c r="H6" s="22" t="s">
        <v>213</v>
      </c>
      <c r="I6" s="17" t="s">
        <v>214</v>
      </c>
    </row>
    <row r="7" spans="2:9" ht="15">
      <c r="B7" s="13" t="s">
        <v>5</v>
      </c>
      <c r="C7" s="14" t="s">
        <v>215</v>
      </c>
      <c r="D7" s="14" t="s">
        <v>200</v>
      </c>
      <c r="E7" s="14" t="s">
        <v>202</v>
      </c>
      <c r="F7" s="14" t="s">
        <v>216</v>
      </c>
      <c r="G7" s="14" t="s">
        <v>217</v>
      </c>
      <c r="H7" s="22" t="s">
        <v>218</v>
      </c>
      <c r="I7" s="17"/>
    </row>
    <row r="8" spans="2:9" ht="15">
      <c r="B8" s="23" t="s">
        <v>219</v>
      </c>
      <c r="C8" s="24" t="s">
        <v>215</v>
      </c>
      <c r="D8" s="24" t="s">
        <v>220</v>
      </c>
      <c r="E8" s="24" t="s">
        <v>221</v>
      </c>
      <c r="F8" s="25" t="s">
        <v>201</v>
      </c>
      <c r="G8" s="26" t="s">
        <v>207</v>
      </c>
      <c r="H8" s="27"/>
      <c r="I8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topLeftCell="A8" workbookViewId="0">
      <selection activeCell="AD15" sqref="AD15"/>
    </sheetView>
  </sheetViews>
  <sheetFormatPr defaultRowHeight="13.5"/>
  <cols>
    <col min="1" max="1" width="10.5" customWidth="1"/>
    <col min="2" max="2" width="14.25" customWidth="1"/>
    <col min="3" max="3" width="9.375" customWidth="1"/>
    <col min="4" max="4" width="21.625" customWidth="1"/>
    <col min="5" max="5" width="19.375" customWidth="1"/>
    <col min="17" max="17" width="9.625" customWidth="1"/>
  </cols>
  <sheetData>
    <row r="1" spans="1:25">
      <c r="A1" s="521" t="s">
        <v>222</v>
      </c>
      <c r="B1" s="34" t="s">
        <v>223</v>
      </c>
      <c r="C1" s="523" t="s">
        <v>224</v>
      </c>
      <c r="D1" s="523" t="s">
        <v>20</v>
      </c>
      <c r="E1" s="523" t="s">
        <v>21</v>
      </c>
      <c r="F1" s="523" t="s">
        <v>22</v>
      </c>
      <c r="G1" s="523" t="s">
        <v>23</v>
      </c>
      <c r="H1" s="523" t="s">
        <v>24</v>
      </c>
      <c r="I1" s="523" t="s">
        <v>25</v>
      </c>
      <c r="J1" s="523" t="s">
        <v>26</v>
      </c>
      <c r="K1" s="523" t="s">
        <v>27</v>
      </c>
      <c r="L1" s="523" t="s">
        <v>28</v>
      </c>
      <c r="M1" s="523" t="s">
        <v>29</v>
      </c>
      <c r="N1" s="523" t="s">
        <v>30</v>
      </c>
      <c r="O1" s="523" t="s">
        <v>31</v>
      </c>
      <c r="P1" s="518" t="s">
        <v>225</v>
      </c>
      <c r="Q1" s="518" t="s">
        <v>226</v>
      </c>
    </row>
    <row r="2" spans="1:25" ht="16.5">
      <c r="A2" s="522"/>
      <c r="B2" s="34" t="s">
        <v>227</v>
      </c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 t="s">
        <v>228</v>
      </c>
      <c r="Q2" s="519" t="s">
        <v>228</v>
      </c>
      <c r="R2" s="276" t="s">
        <v>33</v>
      </c>
      <c r="S2" s="172" t="s">
        <v>34</v>
      </c>
      <c r="T2" s="276" t="s">
        <v>35</v>
      </c>
      <c r="U2" s="172" t="s">
        <v>36</v>
      </c>
      <c r="V2" s="276" t="s">
        <v>33</v>
      </c>
      <c r="W2" s="172" t="s">
        <v>34</v>
      </c>
      <c r="X2" s="276" t="s">
        <v>35</v>
      </c>
      <c r="Y2" s="172" t="s">
        <v>36</v>
      </c>
    </row>
    <row r="3" spans="1:25" ht="14.25">
      <c r="A3" s="520" t="s">
        <v>46</v>
      </c>
      <c r="B3" s="31" t="s">
        <v>6</v>
      </c>
      <c r="C3" s="32">
        <v>95.078327421164389</v>
      </c>
      <c r="D3" s="33">
        <v>5.6146808899353235</v>
      </c>
      <c r="E3" s="33">
        <v>5.0659941194247109</v>
      </c>
      <c r="F3" s="33">
        <v>8.1686686694772934</v>
      </c>
      <c r="G3" s="33">
        <v>6.8938072263979588</v>
      </c>
      <c r="H3" s="33">
        <v>8.5077264141597748</v>
      </c>
      <c r="I3" s="33">
        <v>8.9694008038359883</v>
      </c>
      <c r="J3" s="33">
        <v>8.9975905671792642</v>
      </c>
      <c r="K3" s="33">
        <v>9.3687187978604012</v>
      </c>
      <c r="L3" s="33">
        <v>7.452616570046767</v>
      </c>
      <c r="M3" s="33">
        <v>8.8105371320107562</v>
      </c>
      <c r="N3" s="33">
        <v>8.6045163253882375</v>
      </c>
      <c r="O3" s="33">
        <v>8.6240699054479091</v>
      </c>
      <c r="P3" s="33">
        <v>19.2</v>
      </c>
      <c r="Q3" s="56">
        <f>P3/C3</f>
        <v>0.20193876481388426</v>
      </c>
      <c r="R3" s="176">
        <f>SUM(D3:F3)</f>
        <v>18.849343678837329</v>
      </c>
      <c r="S3" s="176">
        <f>SUM(G3:I3)</f>
        <v>24.370934444393722</v>
      </c>
      <c r="T3" s="176">
        <f>SUM(J3:L3)</f>
        <v>25.818925935086433</v>
      </c>
      <c r="U3" s="176">
        <f>SUM(M3:O3)</f>
        <v>26.039123362846901</v>
      </c>
      <c r="V3" s="36">
        <f>R3/$C3</f>
        <v>0.19825068646129207</v>
      </c>
      <c r="W3" s="36">
        <f t="shared" ref="W3:Y3" si="0">S3/$C3</f>
        <v>0.25632481245109456</v>
      </c>
      <c r="X3" s="36">
        <f t="shared" si="0"/>
        <v>0.27155427146627692</v>
      </c>
      <c r="Y3" s="36">
        <f t="shared" si="0"/>
        <v>0.27387022962133645</v>
      </c>
    </row>
    <row r="4" spans="1:25" ht="14.25">
      <c r="A4" s="520"/>
      <c r="B4" s="28" t="s">
        <v>5</v>
      </c>
      <c r="C4" s="29">
        <v>508.01817155283481</v>
      </c>
      <c r="D4" s="30">
        <v>29.445159730882672</v>
      </c>
      <c r="E4" s="30">
        <v>31.66111114638948</v>
      </c>
      <c r="F4" s="30">
        <v>39.558792488540391</v>
      </c>
      <c r="G4" s="30">
        <v>39.433475193108258</v>
      </c>
      <c r="H4" s="30">
        <v>41.070922381127808</v>
      </c>
      <c r="I4" s="30">
        <v>42.532219766870881</v>
      </c>
      <c r="J4" s="30">
        <v>44.600165913087721</v>
      </c>
      <c r="K4" s="30">
        <v>45.936800914839495</v>
      </c>
      <c r="L4" s="30">
        <v>42.592501499322054</v>
      </c>
      <c r="M4" s="30">
        <v>51.252307280880785</v>
      </c>
      <c r="N4" s="30">
        <v>50.441165790069242</v>
      </c>
      <c r="O4" s="30">
        <v>49.493549447716063</v>
      </c>
      <c r="P4" s="30">
        <v>114</v>
      </c>
      <c r="Q4" s="56">
        <f t="shared" ref="Q4:Q9" si="1">P4/C4</f>
        <v>0.22440142180651071</v>
      </c>
      <c r="R4" s="176">
        <f t="shared" ref="R4:R8" si="2">SUM(D4:F4)</f>
        <v>100.66506336581254</v>
      </c>
      <c r="S4" s="176">
        <f t="shared" ref="S4:S8" si="3">SUM(G4:I4)</f>
        <v>123.03661734110695</v>
      </c>
      <c r="T4" s="176">
        <f t="shared" ref="T4:T8" si="4">SUM(J4:L4)</f>
        <v>133.12946832724927</v>
      </c>
      <c r="U4" s="176">
        <f t="shared" ref="U4:U8" si="5">SUM(M4:O4)</f>
        <v>151.18702251866608</v>
      </c>
      <c r="V4" s="36">
        <f t="shared" ref="V4:V9" si="6">R4/$C4</f>
        <v>0.19815248548711253</v>
      </c>
      <c r="W4" s="36">
        <f t="shared" ref="W4:W9" si="7">S4/$C4</f>
        <v>0.24218940232989464</v>
      </c>
      <c r="X4" s="36">
        <f t="shared" ref="X4:X9" si="8">T4/$C4</f>
        <v>0.26205650856999624</v>
      </c>
      <c r="Y4" s="36">
        <f t="shared" ref="Y4:Y9" si="9">U4/$C4</f>
        <v>0.29760160361299665</v>
      </c>
    </row>
    <row r="5" spans="1:25" ht="14.25">
      <c r="A5" s="520"/>
      <c r="B5" s="31" t="s">
        <v>10</v>
      </c>
      <c r="C5" s="32">
        <v>69.999999999522316</v>
      </c>
      <c r="D5" s="33">
        <v>3.3340251652617789</v>
      </c>
      <c r="E5" s="33">
        <v>4.1607639716070537</v>
      </c>
      <c r="F5" s="33">
        <v>4.468651568103664</v>
      </c>
      <c r="G5" s="33">
        <v>5.4367618518561214</v>
      </c>
      <c r="H5" s="33">
        <v>5.7785716103368872</v>
      </c>
      <c r="I5" s="33">
        <v>6.0256007082723331</v>
      </c>
      <c r="J5" s="33">
        <v>6.3072391671849264</v>
      </c>
      <c r="K5" s="33">
        <v>6.5486808560624885</v>
      </c>
      <c r="L5" s="33">
        <v>7.0481095141285497</v>
      </c>
      <c r="M5" s="33">
        <v>7.0763979556139844</v>
      </c>
      <c r="N5" s="33">
        <v>6.9028635982511179</v>
      </c>
      <c r="O5" s="33">
        <v>6.9123340328434155</v>
      </c>
      <c r="P5" s="33">
        <v>29.55</v>
      </c>
      <c r="Q5" s="56">
        <f t="shared" si="1"/>
        <v>0.4221428571457379</v>
      </c>
      <c r="R5" s="176">
        <f t="shared" si="2"/>
        <v>11.963440704972497</v>
      </c>
      <c r="S5" s="176">
        <f t="shared" si="3"/>
        <v>17.240934170465341</v>
      </c>
      <c r="T5" s="176">
        <f t="shared" si="4"/>
        <v>19.904029537375962</v>
      </c>
      <c r="U5" s="176">
        <f t="shared" si="5"/>
        <v>20.891595586708519</v>
      </c>
      <c r="V5" s="36">
        <f t="shared" si="6"/>
        <v>0.17090629578648767</v>
      </c>
      <c r="W5" s="36">
        <f t="shared" si="7"/>
        <v>0.24629905957975706</v>
      </c>
      <c r="X5" s="36">
        <f t="shared" si="8"/>
        <v>0.28434327910731128</v>
      </c>
      <c r="Y5" s="36">
        <f t="shared" si="9"/>
        <v>0.29845136552644408</v>
      </c>
    </row>
    <row r="6" spans="1:25" ht="14.25">
      <c r="A6" s="520"/>
      <c r="B6" s="31" t="s">
        <v>9</v>
      </c>
      <c r="C6" s="32">
        <v>76.494126101000006</v>
      </c>
      <c r="D6" s="33">
        <v>5.503159139000001</v>
      </c>
      <c r="E6" s="33">
        <v>5.503159139000001</v>
      </c>
      <c r="F6" s="33">
        <v>6.5234914929999999</v>
      </c>
      <c r="G6" s="33">
        <v>6.6267076710000001</v>
      </c>
      <c r="H6" s="33">
        <v>7.138657845</v>
      </c>
      <c r="I6" s="33">
        <v>6.2391163340000011</v>
      </c>
      <c r="J6" s="33">
        <v>6.7254445799999996</v>
      </c>
      <c r="K6" s="33">
        <v>6.453732339000001</v>
      </c>
      <c r="L6" s="33">
        <v>6.0966345730000011</v>
      </c>
      <c r="M6" s="33">
        <v>7.2747746959999997</v>
      </c>
      <c r="N6" s="33">
        <v>6.2765416910000003</v>
      </c>
      <c r="O6" s="33">
        <v>6.1327066010000006</v>
      </c>
      <c r="P6" s="33">
        <v>0</v>
      </c>
      <c r="Q6" s="56">
        <f t="shared" si="1"/>
        <v>0</v>
      </c>
      <c r="R6" s="176">
        <f t="shared" si="2"/>
        <v>17.529809771000004</v>
      </c>
      <c r="S6" s="176">
        <f t="shared" si="3"/>
        <v>20.004481850000001</v>
      </c>
      <c r="T6" s="176">
        <f t="shared" si="4"/>
        <v>19.275811492000003</v>
      </c>
      <c r="U6" s="176">
        <f t="shared" si="5"/>
        <v>19.684022988000002</v>
      </c>
      <c r="V6" s="36">
        <f t="shared" si="6"/>
        <v>0.22916543615197713</v>
      </c>
      <c r="W6" s="36">
        <f t="shared" si="7"/>
        <v>0.26151657479669516</v>
      </c>
      <c r="X6" s="36">
        <f t="shared" si="8"/>
        <v>0.25199074065568033</v>
      </c>
      <c r="Y6" s="36">
        <f t="shared" si="9"/>
        <v>0.25732724839564736</v>
      </c>
    </row>
    <row r="7" spans="1:25" ht="14.25">
      <c r="A7" s="520"/>
      <c r="B7" s="28" t="s">
        <v>8</v>
      </c>
      <c r="C7" s="29">
        <v>478.96615861500004</v>
      </c>
      <c r="D7" s="30">
        <v>35.264064226000009</v>
      </c>
      <c r="E7" s="30">
        <v>35.864293003</v>
      </c>
      <c r="F7" s="30">
        <v>37.774456669000003</v>
      </c>
      <c r="G7" s="30">
        <v>41.210514021999998</v>
      </c>
      <c r="H7" s="30">
        <v>42.15637181000001</v>
      </c>
      <c r="I7" s="30">
        <v>39.610101907000001</v>
      </c>
      <c r="J7" s="30">
        <v>41.640320531</v>
      </c>
      <c r="K7" s="30">
        <v>39.614783508999999</v>
      </c>
      <c r="L7" s="30">
        <v>37.983799339000001</v>
      </c>
      <c r="M7" s="30">
        <v>44.522894810000011</v>
      </c>
      <c r="N7" s="30">
        <v>41.527639467</v>
      </c>
      <c r="O7" s="30">
        <v>41.796919322000008</v>
      </c>
      <c r="P7" s="30">
        <v>120</v>
      </c>
      <c r="Q7" s="56">
        <f t="shared" si="1"/>
        <v>0.25053962131061069</v>
      </c>
      <c r="R7" s="176">
        <f t="shared" si="2"/>
        <v>108.90281389800002</v>
      </c>
      <c r="S7" s="176">
        <f t="shared" si="3"/>
        <v>122.97698773900001</v>
      </c>
      <c r="T7" s="176">
        <f t="shared" si="4"/>
        <v>119.23890337899999</v>
      </c>
      <c r="U7" s="176">
        <f t="shared" si="5"/>
        <v>127.84745359900002</v>
      </c>
      <c r="V7" s="36">
        <f t="shared" si="6"/>
        <v>0.2273705812805403</v>
      </c>
      <c r="W7" s="36">
        <f t="shared" si="7"/>
        <v>0.25675506615040561</v>
      </c>
      <c r="X7" s="36">
        <f t="shared" si="8"/>
        <v>0.24895058081722629</v>
      </c>
      <c r="Y7" s="36">
        <f t="shared" si="9"/>
        <v>0.2669237717518278</v>
      </c>
    </row>
    <row r="8" spans="1:25" ht="14.25">
      <c r="A8" s="520"/>
      <c r="B8" s="28" t="s">
        <v>7</v>
      </c>
      <c r="C8" s="29">
        <v>1523.0457711218464</v>
      </c>
      <c r="D8" s="30">
        <v>100.2480705665522</v>
      </c>
      <c r="E8" s="30">
        <v>105.42701654679465</v>
      </c>
      <c r="F8" s="30">
        <v>125.12418434416043</v>
      </c>
      <c r="G8" s="30">
        <v>114.12680743942308</v>
      </c>
      <c r="H8" s="30">
        <v>127.85696035255185</v>
      </c>
      <c r="I8" s="30">
        <v>127.78258141550501</v>
      </c>
      <c r="J8" s="30">
        <v>130.8275750455158</v>
      </c>
      <c r="K8" s="30">
        <v>142.42629648621701</v>
      </c>
      <c r="L8" s="30">
        <v>128.70295666894467</v>
      </c>
      <c r="M8" s="30">
        <v>142.59119058699682</v>
      </c>
      <c r="N8" s="30">
        <v>137.79124020057185</v>
      </c>
      <c r="O8" s="30">
        <v>140.14089146861306</v>
      </c>
      <c r="P8" s="30">
        <v>330</v>
      </c>
      <c r="Q8" s="56">
        <f t="shared" si="1"/>
        <v>0.2166710983064733</v>
      </c>
      <c r="R8" s="176">
        <f t="shared" si="2"/>
        <v>330.7992714575073</v>
      </c>
      <c r="S8" s="176">
        <f t="shared" si="3"/>
        <v>369.76634920747995</v>
      </c>
      <c r="T8" s="176">
        <f t="shared" si="4"/>
        <v>401.95682820067748</v>
      </c>
      <c r="U8" s="176">
        <f t="shared" si="5"/>
        <v>420.5233222561817</v>
      </c>
      <c r="V8" s="36">
        <f t="shared" si="6"/>
        <v>0.21719588322933123</v>
      </c>
      <c r="W8" s="36">
        <f t="shared" si="7"/>
        <v>0.24278085151381704</v>
      </c>
      <c r="X8" s="36">
        <f t="shared" si="8"/>
        <v>0.26391644678190057</v>
      </c>
      <c r="Y8" s="36">
        <f t="shared" si="9"/>
        <v>0.27610681847495117</v>
      </c>
    </row>
    <row r="9" spans="1:25" ht="14.45" customHeight="1">
      <c r="A9" s="524" t="s">
        <v>15</v>
      </c>
      <c r="B9" s="524"/>
      <c r="C9" s="55">
        <f>SUM(C3:C8)</f>
        <v>2751.602554811368</v>
      </c>
      <c r="D9" s="55">
        <f t="shared" ref="D9:P9" si="10">SUM(D3:D8)</f>
        <v>179.40915971763198</v>
      </c>
      <c r="E9" s="55">
        <f t="shared" si="10"/>
        <v>187.68233792621589</v>
      </c>
      <c r="F9" s="55">
        <f t="shared" si="10"/>
        <v>221.61824523228177</v>
      </c>
      <c r="G9" s="55">
        <f t="shared" si="10"/>
        <v>213.7280734037854</v>
      </c>
      <c r="H9" s="55">
        <f t="shared" si="10"/>
        <v>232.50921041317633</v>
      </c>
      <c r="I9" s="55">
        <f t="shared" si="10"/>
        <v>231.15902093548422</v>
      </c>
      <c r="J9" s="55">
        <f t="shared" si="10"/>
        <v>239.0983358039677</v>
      </c>
      <c r="K9" s="55">
        <f t="shared" si="10"/>
        <v>250.34901290297941</v>
      </c>
      <c r="L9" s="55">
        <f t="shared" si="10"/>
        <v>229.87661816444205</v>
      </c>
      <c r="M9" s="55">
        <f t="shared" si="10"/>
        <v>261.52810246150239</v>
      </c>
      <c r="N9" s="55">
        <f t="shared" si="10"/>
        <v>251.54396707228045</v>
      </c>
      <c r="O9" s="55">
        <f t="shared" si="10"/>
        <v>253.10047077762044</v>
      </c>
      <c r="P9" s="55">
        <f t="shared" si="10"/>
        <v>612.75</v>
      </c>
      <c r="Q9" s="57">
        <f t="shared" si="1"/>
        <v>0.22268841076941293</v>
      </c>
      <c r="R9" s="178">
        <f t="shared" ref="R9" si="11">SUM(D9:F9)</f>
        <v>588.70974287612967</v>
      </c>
      <c r="S9" s="178">
        <f t="shared" ref="S9" si="12">SUM(G9:I9)</f>
        <v>677.39630475244599</v>
      </c>
      <c r="T9" s="178">
        <f t="shared" ref="T9" si="13">SUM(J9:L9)</f>
        <v>719.32396687138908</v>
      </c>
      <c r="U9" s="178">
        <f t="shared" ref="U9" si="14">SUM(M9:O9)</f>
        <v>766.17254031140328</v>
      </c>
      <c r="V9" s="274">
        <f t="shared" si="6"/>
        <v>0.21395159044562226</v>
      </c>
      <c r="W9" s="274">
        <f t="shared" si="7"/>
        <v>0.24618246685662198</v>
      </c>
      <c r="X9" s="274">
        <f t="shared" si="8"/>
        <v>0.26142000980977476</v>
      </c>
      <c r="Y9" s="274">
        <f t="shared" si="9"/>
        <v>0.27844593288798103</v>
      </c>
    </row>
    <row r="10" spans="1:25" ht="14.25">
      <c r="C10" s="261">
        <f>0.9*C9</f>
        <v>2476.4422993302314</v>
      </c>
      <c r="K10" s="36"/>
    </row>
    <row r="11" spans="1:25" ht="14.25"/>
    <row r="12" spans="1:25" ht="22.5" customHeight="1">
      <c r="A12" s="517" t="s">
        <v>229</v>
      </c>
      <c r="B12" s="517"/>
      <c r="C12" s="517"/>
      <c r="D12" s="517"/>
      <c r="E12" s="517"/>
      <c r="F12" s="517"/>
      <c r="G12" s="516" t="s">
        <v>230</v>
      </c>
      <c r="H12" s="516"/>
      <c r="I12" s="516"/>
      <c r="J12" s="516"/>
      <c r="K12" s="516"/>
      <c r="L12" s="516"/>
      <c r="M12" s="516"/>
      <c r="N12" s="516"/>
      <c r="O12" s="516"/>
      <c r="P12" s="516"/>
      <c r="Q12" s="516"/>
      <c r="R12" s="516"/>
      <c r="S12" s="516"/>
      <c r="T12" s="516"/>
      <c r="U12" s="516"/>
      <c r="V12" s="516"/>
      <c r="W12" s="516"/>
    </row>
    <row r="13" spans="1:25" ht="16.5">
      <c r="A13" s="165" t="s">
        <v>231</v>
      </c>
      <c r="B13" s="166" t="s">
        <v>110</v>
      </c>
      <c r="C13" s="167" t="s">
        <v>232</v>
      </c>
      <c r="D13" s="168" t="s">
        <v>233</v>
      </c>
      <c r="E13" s="166" t="s">
        <v>234</v>
      </c>
      <c r="F13" s="169" t="s">
        <v>235</v>
      </c>
      <c r="G13" s="170" t="s">
        <v>20</v>
      </c>
      <c r="H13" s="171" t="s">
        <v>21</v>
      </c>
      <c r="I13" s="170" t="s">
        <v>22</v>
      </c>
      <c r="J13" s="171" t="s">
        <v>23</v>
      </c>
      <c r="K13" s="170" t="s">
        <v>24</v>
      </c>
      <c r="L13" s="171" t="s">
        <v>25</v>
      </c>
      <c r="M13" s="170" t="s">
        <v>26</v>
      </c>
      <c r="N13" s="171" t="s">
        <v>27</v>
      </c>
      <c r="O13" s="170" t="s">
        <v>28</v>
      </c>
      <c r="P13" s="171" t="s">
        <v>29</v>
      </c>
      <c r="Q13" s="170" t="s">
        <v>30</v>
      </c>
      <c r="R13" s="171" t="s">
        <v>31</v>
      </c>
      <c r="S13" s="172">
        <v>2025</v>
      </c>
      <c r="T13" s="170" t="s">
        <v>33</v>
      </c>
      <c r="U13" s="171" t="s">
        <v>34</v>
      </c>
      <c r="V13" s="170" t="s">
        <v>35</v>
      </c>
      <c r="W13" s="171" t="s">
        <v>36</v>
      </c>
    </row>
    <row r="14" spans="1:25" ht="16.5">
      <c r="A14" s="173">
        <v>1</v>
      </c>
      <c r="B14" s="173" t="s">
        <v>8</v>
      </c>
      <c r="C14" s="173" t="s">
        <v>60</v>
      </c>
      <c r="D14" s="174" t="s">
        <v>236</v>
      </c>
      <c r="E14" s="174" t="s">
        <v>237</v>
      </c>
      <c r="F14" s="175" t="s">
        <v>238</v>
      </c>
      <c r="G14" s="176">
        <v>700</v>
      </c>
      <c r="H14" s="176">
        <v>1162</v>
      </c>
      <c r="I14" s="176">
        <v>1376</v>
      </c>
      <c r="J14" s="177">
        <v>1639</v>
      </c>
      <c r="K14" s="176">
        <v>1630</v>
      </c>
      <c r="L14" s="176">
        <v>1665</v>
      </c>
      <c r="M14" s="176">
        <v>2470</v>
      </c>
      <c r="N14" s="176">
        <v>2388</v>
      </c>
      <c r="O14" s="176">
        <v>2127</v>
      </c>
      <c r="P14" s="176">
        <v>2347</v>
      </c>
      <c r="Q14" s="176">
        <v>2741</v>
      </c>
      <c r="R14" s="176">
        <v>3057</v>
      </c>
      <c r="S14" s="178">
        <f>SUM(G14:R14)</f>
        <v>23302</v>
      </c>
      <c r="T14" s="176">
        <f>G14+H14+I14</f>
        <v>3238</v>
      </c>
      <c r="U14" s="176">
        <f>J14+K14+L14</f>
        <v>4934</v>
      </c>
      <c r="V14" s="176">
        <f>M14+N14+O14</f>
        <v>6985</v>
      </c>
      <c r="W14" s="176">
        <f>P14+Q14+R14</f>
        <v>8145</v>
      </c>
    </row>
    <row r="15" spans="1:25" ht="16.5">
      <c r="A15" s="173">
        <v>2</v>
      </c>
      <c r="B15" s="173" t="s">
        <v>8</v>
      </c>
      <c r="C15" s="173" t="s">
        <v>60</v>
      </c>
      <c r="D15" s="174" t="s">
        <v>239</v>
      </c>
      <c r="E15" s="174" t="s">
        <v>237</v>
      </c>
      <c r="F15" s="175" t="s">
        <v>238</v>
      </c>
      <c r="G15" s="176">
        <v>700</v>
      </c>
      <c r="H15" s="176">
        <v>1162</v>
      </c>
      <c r="I15" s="176">
        <v>1376</v>
      </c>
      <c r="J15" s="177">
        <v>1639</v>
      </c>
      <c r="K15" s="176">
        <v>1630</v>
      </c>
      <c r="L15" s="176">
        <v>1665</v>
      </c>
      <c r="M15" s="176">
        <v>2470</v>
      </c>
      <c r="N15" s="176">
        <v>2388</v>
      </c>
      <c r="O15" s="176">
        <v>2127</v>
      </c>
      <c r="P15" s="176">
        <v>2347</v>
      </c>
      <c r="Q15" s="176">
        <v>2741</v>
      </c>
      <c r="R15" s="176">
        <v>3057</v>
      </c>
      <c r="S15" s="178">
        <f t="shared" ref="S15:S24" si="15">SUM(G15:R15)</f>
        <v>23302</v>
      </c>
      <c r="T15" s="176">
        <f t="shared" ref="T15:T41" si="16">G15+H15+I15</f>
        <v>3238</v>
      </c>
      <c r="U15" s="176">
        <f t="shared" ref="U15:U41" si="17">J15+K15+L15</f>
        <v>4934</v>
      </c>
      <c r="V15" s="176">
        <f t="shared" ref="V15:V41" si="18">M15+N15+O15</f>
        <v>6985</v>
      </c>
      <c r="W15" s="176">
        <f t="shared" ref="W15:W41" si="19">P15+Q15+R15</f>
        <v>8145</v>
      </c>
    </row>
    <row r="16" spans="1:25" ht="16.5">
      <c r="A16" s="173">
        <v>3</v>
      </c>
      <c r="B16" s="173" t="s">
        <v>8</v>
      </c>
      <c r="C16" s="173" t="s">
        <v>60</v>
      </c>
      <c r="D16" s="174" t="s">
        <v>240</v>
      </c>
      <c r="E16" s="174" t="s">
        <v>237</v>
      </c>
      <c r="F16" s="175" t="s">
        <v>238</v>
      </c>
      <c r="G16" s="176"/>
      <c r="H16" s="176"/>
      <c r="I16" s="176">
        <v>306</v>
      </c>
      <c r="J16" s="177">
        <v>819</v>
      </c>
      <c r="K16" s="176">
        <v>1086</v>
      </c>
      <c r="L16" s="176">
        <v>1110</v>
      </c>
      <c r="M16" s="176">
        <v>1646</v>
      </c>
      <c r="N16" s="176">
        <v>1592</v>
      </c>
      <c r="O16" s="176">
        <v>1418</v>
      </c>
      <c r="P16" s="176">
        <v>1564</v>
      </c>
      <c r="Q16" s="176">
        <v>1827</v>
      </c>
      <c r="R16" s="176">
        <v>2038</v>
      </c>
      <c r="S16" s="178">
        <f t="shared" si="15"/>
        <v>13406</v>
      </c>
      <c r="T16" s="176">
        <f t="shared" si="16"/>
        <v>306</v>
      </c>
      <c r="U16" s="176">
        <f t="shared" si="17"/>
        <v>3015</v>
      </c>
      <c r="V16" s="176">
        <f t="shared" si="18"/>
        <v>4656</v>
      </c>
      <c r="W16" s="176">
        <f t="shared" si="19"/>
        <v>5429</v>
      </c>
    </row>
    <row r="17" spans="1:23" ht="16.5">
      <c r="A17" s="173">
        <v>4</v>
      </c>
      <c r="B17" s="173" t="s">
        <v>8</v>
      </c>
      <c r="C17" s="173" t="s">
        <v>60</v>
      </c>
      <c r="D17" s="174" t="s">
        <v>241</v>
      </c>
      <c r="E17" s="174" t="s">
        <v>237</v>
      </c>
      <c r="F17" s="175" t="s">
        <v>41</v>
      </c>
      <c r="G17" s="176">
        <v>2113</v>
      </c>
      <c r="H17" s="176">
        <v>2173</v>
      </c>
      <c r="I17" s="176">
        <v>1910</v>
      </c>
      <c r="J17" s="177">
        <v>2206</v>
      </c>
      <c r="K17" s="176">
        <v>1551</v>
      </c>
      <c r="L17" s="176">
        <v>1317</v>
      </c>
      <c r="M17" s="176">
        <v>1129</v>
      </c>
      <c r="N17" s="176">
        <v>911</v>
      </c>
      <c r="O17" s="176">
        <v>817</v>
      </c>
      <c r="P17" s="176">
        <v>1522</v>
      </c>
      <c r="Q17" s="176">
        <v>2547</v>
      </c>
      <c r="R17" s="176">
        <v>1613</v>
      </c>
      <c r="S17" s="178">
        <f t="shared" si="15"/>
        <v>19809</v>
      </c>
      <c r="T17" s="176">
        <f t="shared" si="16"/>
        <v>6196</v>
      </c>
      <c r="U17" s="176">
        <f t="shared" si="17"/>
        <v>5074</v>
      </c>
      <c r="V17" s="176">
        <f t="shared" si="18"/>
        <v>2857</v>
      </c>
      <c r="W17" s="176">
        <f t="shared" si="19"/>
        <v>5682</v>
      </c>
    </row>
    <row r="18" spans="1:23" ht="16.5">
      <c r="A18" s="173">
        <v>5</v>
      </c>
      <c r="B18" s="173" t="s">
        <v>8</v>
      </c>
      <c r="C18" s="173" t="s">
        <v>60</v>
      </c>
      <c r="D18" s="174" t="s">
        <v>242</v>
      </c>
      <c r="E18" s="174" t="s">
        <v>237</v>
      </c>
      <c r="F18" s="175" t="s">
        <v>41</v>
      </c>
      <c r="G18" s="176">
        <v>2113</v>
      </c>
      <c r="H18" s="176">
        <v>2173</v>
      </c>
      <c r="I18" s="176">
        <v>1910</v>
      </c>
      <c r="J18" s="177">
        <v>2206</v>
      </c>
      <c r="K18" s="176">
        <v>1551</v>
      </c>
      <c r="L18" s="176">
        <v>1317</v>
      </c>
      <c r="M18" s="176">
        <v>1129</v>
      </c>
      <c r="N18" s="176">
        <v>911</v>
      </c>
      <c r="O18" s="176">
        <v>817</v>
      </c>
      <c r="P18" s="176">
        <v>1522</v>
      </c>
      <c r="Q18" s="176">
        <v>2547</v>
      </c>
      <c r="R18" s="176">
        <v>1613</v>
      </c>
      <c r="S18" s="178">
        <f t="shared" si="15"/>
        <v>19809</v>
      </c>
      <c r="T18" s="176">
        <f t="shared" si="16"/>
        <v>6196</v>
      </c>
      <c r="U18" s="176">
        <f t="shared" si="17"/>
        <v>5074</v>
      </c>
      <c r="V18" s="176">
        <f t="shared" si="18"/>
        <v>2857</v>
      </c>
      <c r="W18" s="176">
        <f t="shared" si="19"/>
        <v>5682</v>
      </c>
    </row>
    <row r="19" spans="1:23" ht="16.5">
      <c r="A19" s="173">
        <v>6</v>
      </c>
      <c r="B19" s="173" t="s">
        <v>8</v>
      </c>
      <c r="C19" s="173" t="s">
        <v>60</v>
      </c>
      <c r="D19" s="174" t="s">
        <v>243</v>
      </c>
      <c r="E19" s="174" t="s">
        <v>237</v>
      </c>
      <c r="F19" s="175" t="s">
        <v>41</v>
      </c>
      <c r="G19" s="176">
        <v>2177</v>
      </c>
      <c r="H19" s="176">
        <v>2239</v>
      </c>
      <c r="I19" s="176">
        <v>1968</v>
      </c>
      <c r="J19" s="177">
        <v>2273</v>
      </c>
      <c r="K19" s="176">
        <v>1598</v>
      </c>
      <c r="L19" s="176">
        <v>1357</v>
      </c>
      <c r="M19" s="176">
        <v>1163</v>
      </c>
      <c r="N19" s="176">
        <v>939</v>
      </c>
      <c r="O19" s="176">
        <v>841</v>
      </c>
      <c r="P19" s="176">
        <v>1568</v>
      </c>
      <c r="Q19" s="176">
        <v>2624</v>
      </c>
      <c r="R19" s="176">
        <v>1662</v>
      </c>
      <c r="S19" s="178">
        <f t="shared" si="15"/>
        <v>20409</v>
      </c>
      <c r="T19" s="176">
        <f t="shared" si="16"/>
        <v>6384</v>
      </c>
      <c r="U19" s="176">
        <f t="shared" si="17"/>
        <v>5228</v>
      </c>
      <c r="V19" s="176">
        <f t="shared" si="18"/>
        <v>2943</v>
      </c>
      <c r="W19" s="176">
        <f t="shared" si="19"/>
        <v>5854</v>
      </c>
    </row>
    <row r="20" spans="1:23" ht="16.5">
      <c r="A20" s="173">
        <v>7</v>
      </c>
      <c r="B20" s="173" t="s">
        <v>5</v>
      </c>
      <c r="C20" s="173" t="s">
        <v>60</v>
      </c>
      <c r="D20" s="174" t="s">
        <v>244</v>
      </c>
      <c r="E20" s="174" t="s">
        <v>245</v>
      </c>
      <c r="F20" s="175" t="s">
        <v>41</v>
      </c>
      <c r="G20" s="176">
        <v>1278</v>
      </c>
      <c r="H20" s="176">
        <v>835</v>
      </c>
      <c r="I20" s="176">
        <v>1572</v>
      </c>
      <c r="J20" s="177">
        <v>1286</v>
      </c>
      <c r="K20" s="176">
        <v>1566</v>
      </c>
      <c r="L20" s="176">
        <v>1874</v>
      </c>
      <c r="M20" s="176">
        <v>2149</v>
      </c>
      <c r="N20" s="176">
        <v>2073</v>
      </c>
      <c r="O20" s="176">
        <v>1616</v>
      </c>
      <c r="P20" s="176">
        <v>2266</v>
      </c>
      <c r="Q20" s="176">
        <v>1742</v>
      </c>
      <c r="R20" s="176">
        <v>1742</v>
      </c>
      <c r="S20" s="178">
        <v>20000</v>
      </c>
      <c r="T20" s="176">
        <f t="shared" si="16"/>
        <v>3685</v>
      </c>
      <c r="U20" s="176">
        <f t="shared" si="17"/>
        <v>4726</v>
      </c>
      <c r="V20" s="176">
        <f t="shared" si="18"/>
        <v>5838</v>
      </c>
      <c r="W20" s="176">
        <f t="shared" si="19"/>
        <v>5750</v>
      </c>
    </row>
    <row r="21" spans="1:23" ht="16.5">
      <c r="A21" s="173">
        <v>8</v>
      </c>
      <c r="B21" s="173" t="s">
        <v>5</v>
      </c>
      <c r="C21" s="173" t="s">
        <v>60</v>
      </c>
      <c r="D21" s="174" t="s">
        <v>246</v>
      </c>
      <c r="E21" s="174" t="s">
        <v>237</v>
      </c>
      <c r="F21" s="175" t="s">
        <v>41</v>
      </c>
      <c r="G21" s="176">
        <v>809</v>
      </c>
      <c r="H21" s="176">
        <v>529</v>
      </c>
      <c r="I21" s="176">
        <v>996</v>
      </c>
      <c r="J21" s="177">
        <v>814</v>
      </c>
      <c r="K21" s="176">
        <v>992</v>
      </c>
      <c r="L21" s="176">
        <v>1187</v>
      </c>
      <c r="M21" s="176">
        <v>1361</v>
      </c>
      <c r="N21" s="176">
        <v>1313</v>
      </c>
      <c r="O21" s="176">
        <v>1024</v>
      </c>
      <c r="P21" s="176">
        <v>1435</v>
      </c>
      <c r="Q21" s="176">
        <v>1103</v>
      </c>
      <c r="R21" s="176">
        <v>1103</v>
      </c>
      <c r="S21" s="178">
        <v>12667</v>
      </c>
      <c r="T21" s="176">
        <f t="shared" si="16"/>
        <v>2334</v>
      </c>
      <c r="U21" s="176">
        <f t="shared" si="17"/>
        <v>2993</v>
      </c>
      <c r="V21" s="176">
        <f t="shared" si="18"/>
        <v>3698</v>
      </c>
      <c r="W21" s="176">
        <f t="shared" si="19"/>
        <v>3641</v>
      </c>
    </row>
    <row r="22" spans="1:23" ht="16.5">
      <c r="A22" s="173">
        <v>9</v>
      </c>
      <c r="B22" s="173" t="s">
        <v>5</v>
      </c>
      <c r="C22" s="173" t="s">
        <v>60</v>
      </c>
      <c r="D22" s="174" t="s">
        <v>247</v>
      </c>
      <c r="E22" s="174" t="s">
        <v>237</v>
      </c>
      <c r="F22" s="175" t="s">
        <v>41</v>
      </c>
      <c r="G22" s="176">
        <v>809</v>
      </c>
      <c r="H22" s="176">
        <v>529</v>
      </c>
      <c r="I22" s="176">
        <v>996</v>
      </c>
      <c r="J22" s="177">
        <v>814</v>
      </c>
      <c r="K22" s="176">
        <v>992</v>
      </c>
      <c r="L22" s="176">
        <v>1187</v>
      </c>
      <c r="M22" s="176">
        <v>1361</v>
      </c>
      <c r="N22" s="176">
        <v>1313</v>
      </c>
      <c r="O22" s="176">
        <v>1024</v>
      </c>
      <c r="P22" s="176">
        <v>1435</v>
      </c>
      <c r="Q22" s="176">
        <v>1103</v>
      </c>
      <c r="R22" s="176">
        <v>1103</v>
      </c>
      <c r="S22" s="178">
        <v>12667</v>
      </c>
      <c r="T22" s="176">
        <f t="shared" si="16"/>
        <v>2334</v>
      </c>
      <c r="U22" s="176">
        <f t="shared" si="17"/>
        <v>2993</v>
      </c>
      <c r="V22" s="176">
        <f t="shared" si="18"/>
        <v>3698</v>
      </c>
      <c r="W22" s="176">
        <f t="shared" si="19"/>
        <v>3641</v>
      </c>
    </row>
    <row r="23" spans="1:23" ht="16.5">
      <c r="A23" s="173">
        <v>10</v>
      </c>
      <c r="B23" s="173" t="s">
        <v>5</v>
      </c>
      <c r="C23" s="173" t="s">
        <v>60</v>
      </c>
      <c r="D23" s="174" t="s">
        <v>248</v>
      </c>
      <c r="E23" s="174" t="s">
        <v>237</v>
      </c>
      <c r="F23" s="175" t="s">
        <v>41</v>
      </c>
      <c r="G23" s="176">
        <v>809</v>
      </c>
      <c r="H23" s="176">
        <v>529</v>
      </c>
      <c r="I23" s="176">
        <v>996</v>
      </c>
      <c r="J23" s="177">
        <v>814</v>
      </c>
      <c r="K23" s="176">
        <v>992</v>
      </c>
      <c r="L23" s="176">
        <v>1187</v>
      </c>
      <c r="M23" s="176">
        <v>1361</v>
      </c>
      <c r="N23" s="176">
        <v>1313</v>
      </c>
      <c r="O23" s="176">
        <v>1024</v>
      </c>
      <c r="P23" s="176">
        <v>1435</v>
      </c>
      <c r="Q23" s="176">
        <v>1103</v>
      </c>
      <c r="R23" s="176">
        <v>1103</v>
      </c>
      <c r="S23" s="178">
        <v>12667</v>
      </c>
      <c r="T23" s="176">
        <f t="shared" si="16"/>
        <v>2334</v>
      </c>
      <c r="U23" s="176">
        <f t="shared" si="17"/>
        <v>2993</v>
      </c>
      <c r="V23" s="176">
        <f t="shared" si="18"/>
        <v>3698</v>
      </c>
      <c r="W23" s="176">
        <f t="shared" si="19"/>
        <v>3641</v>
      </c>
    </row>
    <row r="24" spans="1:23" ht="16.5">
      <c r="A24" s="173">
        <v>11</v>
      </c>
      <c r="B24" s="173" t="s">
        <v>5</v>
      </c>
      <c r="C24" s="173" t="s">
        <v>60</v>
      </c>
      <c r="D24" s="174" t="s">
        <v>249</v>
      </c>
      <c r="E24" s="174" t="s">
        <v>237</v>
      </c>
      <c r="F24" s="175" t="s">
        <v>41</v>
      </c>
      <c r="G24" s="176">
        <v>958</v>
      </c>
      <c r="H24" s="176">
        <v>626</v>
      </c>
      <c r="I24" s="176">
        <v>1179</v>
      </c>
      <c r="J24" s="177">
        <v>964</v>
      </c>
      <c r="K24" s="176">
        <v>1175</v>
      </c>
      <c r="L24" s="176">
        <v>1405</v>
      </c>
      <c r="M24" s="176">
        <v>1612</v>
      </c>
      <c r="N24" s="176">
        <v>1555</v>
      </c>
      <c r="O24" s="176">
        <v>1212</v>
      </c>
      <c r="P24" s="176">
        <v>1700</v>
      </c>
      <c r="Q24" s="176">
        <v>1307</v>
      </c>
      <c r="R24" s="176">
        <v>1307</v>
      </c>
      <c r="S24" s="178">
        <v>15000</v>
      </c>
      <c r="T24" s="176">
        <f t="shared" si="16"/>
        <v>2763</v>
      </c>
      <c r="U24" s="176">
        <f t="shared" si="17"/>
        <v>3544</v>
      </c>
      <c r="V24" s="176">
        <f t="shared" si="18"/>
        <v>4379</v>
      </c>
      <c r="W24" s="176">
        <f t="shared" si="19"/>
        <v>4314</v>
      </c>
    </row>
    <row r="25" spans="1:23" ht="16.5">
      <c r="A25" s="173">
        <v>12</v>
      </c>
      <c r="B25" s="173" t="s">
        <v>5</v>
      </c>
      <c r="C25" s="173" t="s">
        <v>60</v>
      </c>
      <c r="D25" s="174" t="s">
        <v>250</v>
      </c>
      <c r="E25" s="174" t="s">
        <v>251</v>
      </c>
      <c r="F25" s="175" t="s">
        <v>238</v>
      </c>
      <c r="G25" s="176">
        <v>1226.3724398555858</v>
      </c>
      <c r="H25" s="176">
        <v>1479.3332658501195</v>
      </c>
      <c r="I25" s="176">
        <v>1444.3432196241183</v>
      </c>
      <c r="J25" s="177">
        <v>1603.2324459290749</v>
      </c>
      <c r="K25" s="176">
        <v>1023.8890575969228</v>
      </c>
      <c r="L25" s="176">
        <v>1340.5202955764751</v>
      </c>
      <c r="M25" s="176">
        <v>1351.9924418800822</v>
      </c>
      <c r="N25" s="176">
        <v>1577.4201167459594</v>
      </c>
      <c r="O25" s="176">
        <v>1400.7490636704119</v>
      </c>
      <c r="P25" s="176">
        <v>1276.8498835914565</v>
      </c>
      <c r="Q25" s="176">
        <v>1637.6488848398958</v>
      </c>
      <c r="R25" s="176">
        <v>1637.6488848398958</v>
      </c>
      <c r="S25" s="178">
        <f>SUM(G25:R25)</f>
        <v>16999.999999999996</v>
      </c>
      <c r="T25" s="176">
        <f t="shared" si="16"/>
        <v>4150.0489253298238</v>
      </c>
      <c r="U25" s="176">
        <f t="shared" si="17"/>
        <v>3967.6417991024728</v>
      </c>
      <c r="V25" s="176">
        <f t="shared" si="18"/>
        <v>4330.1616222964531</v>
      </c>
      <c r="W25" s="176">
        <f t="shared" si="19"/>
        <v>4552.1476532712477</v>
      </c>
    </row>
    <row r="26" spans="1:23" ht="16.5">
      <c r="A26" s="173">
        <v>13</v>
      </c>
      <c r="B26" s="173" t="s">
        <v>5</v>
      </c>
      <c r="C26" s="173" t="s">
        <v>60</v>
      </c>
      <c r="D26" s="174" t="s">
        <v>252</v>
      </c>
      <c r="E26" s="174" t="s">
        <v>237</v>
      </c>
      <c r="F26" s="175" t="s">
        <v>238</v>
      </c>
      <c r="G26" s="176">
        <v>360.69777642811357</v>
      </c>
      <c r="H26" s="176">
        <v>435.09801936768235</v>
      </c>
      <c r="I26" s="176">
        <v>424.80682930121145</v>
      </c>
      <c r="J26" s="177">
        <v>471.53895468502219</v>
      </c>
      <c r="K26" s="176">
        <v>301.14384046968325</v>
      </c>
      <c r="L26" s="176">
        <v>394.27067516955162</v>
      </c>
      <c r="M26" s="176">
        <v>397.64483584708313</v>
      </c>
      <c r="N26" s="176">
        <v>463.94709316057646</v>
      </c>
      <c r="O26" s="176">
        <v>411.98501872659187</v>
      </c>
      <c r="P26" s="176">
        <v>375.54408340925204</v>
      </c>
      <c r="Q26" s="176">
        <v>481.6614367176166</v>
      </c>
      <c r="R26" s="176">
        <v>481.6614367176166</v>
      </c>
      <c r="S26" s="178">
        <f t="shared" ref="S26:S29" si="20">SUM(G26:R26)</f>
        <v>5000</v>
      </c>
      <c r="T26" s="176">
        <f t="shared" si="16"/>
        <v>1220.6026250970074</v>
      </c>
      <c r="U26" s="176">
        <f t="shared" si="17"/>
        <v>1166.9534703242571</v>
      </c>
      <c r="V26" s="176">
        <f t="shared" si="18"/>
        <v>1273.5769477342515</v>
      </c>
      <c r="W26" s="176">
        <f t="shared" si="19"/>
        <v>1338.8669568444852</v>
      </c>
    </row>
    <row r="27" spans="1:23" ht="16.5">
      <c r="A27" s="173">
        <v>14</v>
      </c>
      <c r="B27" s="173" t="s">
        <v>5</v>
      </c>
      <c r="C27" s="173" t="s">
        <v>60</v>
      </c>
      <c r="D27" s="174" t="s">
        <v>253</v>
      </c>
      <c r="E27" s="174" t="s">
        <v>237</v>
      </c>
      <c r="F27" s="175" t="s">
        <v>238</v>
      </c>
      <c r="G27" s="176">
        <v>577.11644228498164</v>
      </c>
      <c r="H27" s="176">
        <v>696.15683098829163</v>
      </c>
      <c r="I27" s="176">
        <v>679.69092688193814</v>
      </c>
      <c r="J27" s="177">
        <v>754.4623274960353</v>
      </c>
      <c r="K27" s="176">
        <v>481.83014475149309</v>
      </c>
      <c r="L27" s="176">
        <v>630.83308027128248</v>
      </c>
      <c r="M27" s="176">
        <v>636.23173735533294</v>
      </c>
      <c r="N27" s="176">
        <v>742.31534905692217</v>
      </c>
      <c r="O27" s="176">
        <v>659.17602996254686</v>
      </c>
      <c r="P27" s="176">
        <v>600.87053345480319</v>
      </c>
      <c r="Q27" s="176">
        <v>770.65829874818644</v>
      </c>
      <c r="R27" s="176">
        <v>770.65829874818644</v>
      </c>
      <c r="S27" s="178">
        <f t="shared" si="20"/>
        <v>8000</v>
      </c>
      <c r="T27" s="176">
        <f t="shared" si="16"/>
        <v>1952.9642001552115</v>
      </c>
      <c r="U27" s="176">
        <f t="shared" si="17"/>
        <v>1867.1255525188108</v>
      </c>
      <c r="V27" s="176">
        <f t="shared" si="18"/>
        <v>2037.723116374802</v>
      </c>
      <c r="W27" s="176">
        <f t="shared" si="19"/>
        <v>2142.1871309511762</v>
      </c>
    </row>
    <row r="28" spans="1:23" ht="16.5">
      <c r="A28" s="173">
        <v>15</v>
      </c>
      <c r="B28" s="173" t="s">
        <v>5</v>
      </c>
      <c r="C28" s="173" t="s">
        <v>60</v>
      </c>
      <c r="D28" s="174" t="s">
        <v>254</v>
      </c>
      <c r="E28" s="174" t="s">
        <v>255</v>
      </c>
      <c r="F28" s="175" t="s">
        <v>39</v>
      </c>
      <c r="G28" s="176">
        <v>172.51184834123222</v>
      </c>
      <c r="H28" s="176">
        <v>18.48341232227488</v>
      </c>
      <c r="I28" s="176">
        <v>598.75053856096508</v>
      </c>
      <c r="J28" s="177">
        <v>224.60146488582507</v>
      </c>
      <c r="K28" s="176">
        <v>417.27703576044809</v>
      </c>
      <c r="L28" s="176">
        <v>603.79146919431275</v>
      </c>
      <c r="M28" s="176">
        <v>486.72985781990519</v>
      </c>
      <c r="N28" s="176">
        <v>436.32055148642831</v>
      </c>
      <c r="O28" s="176">
        <v>425.11848341232223</v>
      </c>
      <c r="P28" s="176">
        <v>988.02240413614823</v>
      </c>
      <c r="Q28" s="176">
        <v>1064.1964670400689</v>
      </c>
      <c r="R28" s="176">
        <v>1064.1964670400689</v>
      </c>
      <c r="S28" s="178">
        <f t="shared" si="20"/>
        <v>6500</v>
      </c>
      <c r="T28" s="176">
        <f t="shared" si="16"/>
        <v>789.74579922447219</v>
      </c>
      <c r="U28" s="176">
        <f t="shared" si="17"/>
        <v>1245.669969840586</v>
      </c>
      <c r="V28" s="176">
        <f t="shared" si="18"/>
        <v>1348.1688927186556</v>
      </c>
      <c r="W28" s="176">
        <f t="shared" si="19"/>
        <v>3116.4153382162863</v>
      </c>
    </row>
    <row r="29" spans="1:23" ht="16.5">
      <c r="A29" s="173">
        <v>16</v>
      </c>
      <c r="B29" s="173" t="s">
        <v>5</v>
      </c>
      <c r="C29" s="173" t="s">
        <v>60</v>
      </c>
      <c r="D29" s="174" t="s">
        <v>256</v>
      </c>
      <c r="E29" s="174" t="s">
        <v>237</v>
      </c>
      <c r="F29" s="175" t="s">
        <v>39</v>
      </c>
      <c r="G29" s="176">
        <v>119.4312796208531</v>
      </c>
      <c r="H29" s="176">
        <v>12.796208530805687</v>
      </c>
      <c r="I29" s="176">
        <v>414.51960361912973</v>
      </c>
      <c r="J29" s="177">
        <v>155.49332184403278</v>
      </c>
      <c r="K29" s="176">
        <v>288.88410168031027</v>
      </c>
      <c r="L29" s="176">
        <v>418.00947867298589</v>
      </c>
      <c r="M29" s="176">
        <v>336.96682464454983</v>
      </c>
      <c r="N29" s="176">
        <v>302.06807410598884</v>
      </c>
      <c r="O29" s="176">
        <v>294.31279620853081</v>
      </c>
      <c r="P29" s="176">
        <v>684.015510555795</v>
      </c>
      <c r="Q29" s="176">
        <v>736.75140025850942</v>
      </c>
      <c r="R29" s="176">
        <v>736.75140025850942</v>
      </c>
      <c r="S29" s="178">
        <f t="shared" si="20"/>
        <v>4500.0000000000009</v>
      </c>
      <c r="T29" s="176">
        <f t="shared" si="16"/>
        <v>546.74709177078853</v>
      </c>
      <c r="U29" s="176">
        <f t="shared" si="17"/>
        <v>862.38690219732894</v>
      </c>
      <c r="V29" s="176">
        <f t="shared" si="18"/>
        <v>933.34769495906949</v>
      </c>
      <c r="W29" s="176">
        <f t="shared" si="19"/>
        <v>2157.518311072814</v>
      </c>
    </row>
    <row r="30" spans="1:23" ht="16.5">
      <c r="A30" s="173">
        <v>17</v>
      </c>
      <c r="B30" s="173" t="s">
        <v>7</v>
      </c>
      <c r="C30" s="173" t="s">
        <v>60</v>
      </c>
      <c r="D30" s="174" t="s">
        <v>257</v>
      </c>
      <c r="E30" s="174" t="s">
        <v>237</v>
      </c>
      <c r="F30" s="175" t="s">
        <v>238</v>
      </c>
      <c r="G30" s="176">
        <v>2260</v>
      </c>
      <c r="H30" s="176">
        <v>2360</v>
      </c>
      <c r="I30" s="176">
        <v>2500</v>
      </c>
      <c r="J30" s="177">
        <v>2880</v>
      </c>
      <c r="K30" s="176">
        <v>2900</v>
      </c>
      <c r="L30" s="176">
        <v>2900</v>
      </c>
      <c r="M30" s="176">
        <v>2900</v>
      </c>
      <c r="N30" s="176">
        <v>3000</v>
      </c>
      <c r="O30" s="176">
        <v>3000</v>
      </c>
      <c r="P30" s="176">
        <v>3400</v>
      </c>
      <c r="Q30" s="176">
        <v>3300</v>
      </c>
      <c r="R30" s="176">
        <v>3300</v>
      </c>
      <c r="S30" s="178">
        <v>34700</v>
      </c>
      <c r="T30" s="176">
        <f t="shared" si="16"/>
        <v>7120</v>
      </c>
      <c r="U30" s="176">
        <f t="shared" si="17"/>
        <v>8680</v>
      </c>
      <c r="V30" s="176">
        <f t="shared" si="18"/>
        <v>8900</v>
      </c>
      <c r="W30" s="176">
        <f t="shared" si="19"/>
        <v>10000</v>
      </c>
    </row>
    <row r="31" spans="1:23" ht="16.5">
      <c r="A31" s="173">
        <v>18</v>
      </c>
      <c r="B31" s="173" t="s">
        <v>7</v>
      </c>
      <c r="C31" s="173" t="s">
        <v>60</v>
      </c>
      <c r="D31" s="174" t="s">
        <v>258</v>
      </c>
      <c r="E31" s="174" t="s">
        <v>237</v>
      </c>
      <c r="F31" s="175" t="s">
        <v>238</v>
      </c>
      <c r="G31" s="176">
        <v>2460</v>
      </c>
      <c r="H31" s="176">
        <v>2360</v>
      </c>
      <c r="I31" s="176">
        <v>2360</v>
      </c>
      <c r="J31" s="177">
        <v>2360</v>
      </c>
      <c r="K31" s="176">
        <v>2400</v>
      </c>
      <c r="L31" s="176">
        <v>2450</v>
      </c>
      <c r="M31" s="176">
        <v>2450</v>
      </c>
      <c r="N31" s="176">
        <v>2450</v>
      </c>
      <c r="O31" s="176">
        <v>2450</v>
      </c>
      <c r="P31" s="176">
        <v>2560</v>
      </c>
      <c r="Q31" s="176">
        <v>2600</v>
      </c>
      <c r="R31" s="176">
        <v>2600</v>
      </c>
      <c r="S31" s="178">
        <v>29500</v>
      </c>
      <c r="T31" s="176">
        <f t="shared" si="16"/>
        <v>7180</v>
      </c>
      <c r="U31" s="176">
        <f t="shared" si="17"/>
        <v>7210</v>
      </c>
      <c r="V31" s="176">
        <f t="shared" si="18"/>
        <v>7350</v>
      </c>
      <c r="W31" s="176">
        <f t="shared" si="19"/>
        <v>7760</v>
      </c>
    </row>
    <row r="32" spans="1:23" ht="16.5">
      <c r="A32" s="173">
        <v>19</v>
      </c>
      <c r="B32" s="173" t="s">
        <v>7</v>
      </c>
      <c r="C32" s="173" t="s">
        <v>60</v>
      </c>
      <c r="D32" s="174" t="s">
        <v>259</v>
      </c>
      <c r="E32" s="174" t="s">
        <v>237</v>
      </c>
      <c r="F32" s="175" t="s">
        <v>238</v>
      </c>
      <c r="G32" s="176">
        <v>3000</v>
      </c>
      <c r="H32" s="176">
        <v>3000</v>
      </c>
      <c r="I32" s="176">
        <v>3200</v>
      </c>
      <c r="J32" s="177">
        <v>3300</v>
      </c>
      <c r="K32" s="176">
        <v>3400</v>
      </c>
      <c r="L32" s="176">
        <v>3400</v>
      </c>
      <c r="M32" s="176">
        <v>3400</v>
      </c>
      <c r="N32" s="176">
        <v>3400</v>
      </c>
      <c r="O32" s="176">
        <v>3400</v>
      </c>
      <c r="P32" s="176">
        <v>3500</v>
      </c>
      <c r="Q32" s="176">
        <v>3500</v>
      </c>
      <c r="R32" s="176">
        <v>3500</v>
      </c>
      <c r="S32" s="178">
        <v>40000</v>
      </c>
      <c r="T32" s="176">
        <f t="shared" si="16"/>
        <v>9200</v>
      </c>
      <c r="U32" s="176">
        <f t="shared" si="17"/>
        <v>10100</v>
      </c>
      <c r="V32" s="176">
        <f t="shared" si="18"/>
        <v>10200</v>
      </c>
      <c r="W32" s="176">
        <f t="shared" si="19"/>
        <v>10500</v>
      </c>
    </row>
    <row r="33" spans="1:23" ht="16.5">
      <c r="A33" s="173">
        <v>20</v>
      </c>
      <c r="B33" s="173" t="s">
        <v>7</v>
      </c>
      <c r="C33" s="173" t="s">
        <v>60</v>
      </c>
      <c r="D33" s="174" t="s">
        <v>260</v>
      </c>
      <c r="E33" s="174" t="s">
        <v>237</v>
      </c>
      <c r="F33" s="175" t="s">
        <v>39</v>
      </c>
      <c r="G33" s="176">
        <v>300</v>
      </c>
      <c r="H33" s="176">
        <v>150</v>
      </c>
      <c r="I33" s="176">
        <v>240</v>
      </c>
      <c r="J33" s="177">
        <v>650</v>
      </c>
      <c r="K33" s="176">
        <v>470</v>
      </c>
      <c r="L33" s="176">
        <v>1530</v>
      </c>
      <c r="M33" s="176">
        <v>1040</v>
      </c>
      <c r="N33" s="176">
        <v>2310</v>
      </c>
      <c r="O33" s="176">
        <v>670</v>
      </c>
      <c r="P33" s="176">
        <v>2100</v>
      </c>
      <c r="Q33" s="176">
        <v>1980</v>
      </c>
      <c r="R33" s="176">
        <v>1430</v>
      </c>
      <c r="S33" s="178">
        <v>12870</v>
      </c>
      <c r="T33" s="176">
        <f t="shared" si="16"/>
        <v>690</v>
      </c>
      <c r="U33" s="176">
        <f t="shared" si="17"/>
        <v>2650</v>
      </c>
      <c r="V33" s="176">
        <f t="shared" si="18"/>
        <v>4020</v>
      </c>
      <c r="W33" s="176">
        <f t="shared" si="19"/>
        <v>5510</v>
      </c>
    </row>
    <row r="34" spans="1:23" ht="16.5">
      <c r="A34" s="173">
        <v>21</v>
      </c>
      <c r="B34" s="173" t="s">
        <v>7</v>
      </c>
      <c r="C34" s="173" t="s">
        <v>60</v>
      </c>
      <c r="D34" s="174" t="s">
        <v>261</v>
      </c>
      <c r="E34" s="174" t="s">
        <v>237</v>
      </c>
      <c r="F34" s="175" t="s">
        <v>39</v>
      </c>
      <c r="G34" s="176">
        <v>460</v>
      </c>
      <c r="H34" s="176">
        <v>360</v>
      </c>
      <c r="I34" s="176">
        <v>350</v>
      </c>
      <c r="J34" s="177">
        <v>750</v>
      </c>
      <c r="K34" s="176">
        <v>1310</v>
      </c>
      <c r="L34" s="176">
        <v>710</v>
      </c>
      <c r="M34" s="176">
        <v>460</v>
      </c>
      <c r="N34" s="176">
        <v>340</v>
      </c>
      <c r="O34" s="176">
        <v>540</v>
      </c>
      <c r="P34" s="176">
        <v>860</v>
      </c>
      <c r="Q34" s="176">
        <v>920</v>
      </c>
      <c r="R34" s="176">
        <v>1920</v>
      </c>
      <c r="S34" s="178">
        <v>8980</v>
      </c>
      <c r="T34" s="176">
        <f t="shared" si="16"/>
        <v>1170</v>
      </c>
      <c r="U34" s="176">
        <f t="shared" si="17"/>
        <v>2770</v>
      </c>
      <c r="V34" s="176">
        <f t="shared" si="18"/>
        <v>1340</v>
      </c>
      <c r="W34" s="176">
        <f t="shared" si="19"/>
        <v>3700</v>
      </c>
    </row>
    <row r="35" spans="1:23" ht="16.5">
      <c r="A35" s="173">
        <v>22</v>
      </c>
      <c r="B35" s="173" t="s">
        <v>7</v>
      </c>
      <c r="C35" s="173" t="s">
        <v>60</v>
      </c>
      <c r="D35" s="174" t="s">
        <v>262</v>
      </c>
      <c r="E35" s="174" t="s">
        <v>237</v>
      </c>
      <c r="F35" s="175" t="s">
        <v>39</v>
      </c>
      <c r="G35" s="176">
        <v>510</v>
      </c>
      <c r="H35" s="176">
        <v>60</v>
      </c>
      <c r="I35" s="176">
        <v>90</v>
      </c>
      <c r="J35" s="177">
        <v>30</v>
      </c>
      <c r="K35" s="176">
        <v>390</v>
      </c>
      <c r="L35" s="176">
        <v>2430</v>
      </c>
      <c r="M35" s="176">
        <v>570</v>
      </c>
      <c r="N35" s="176">
        <v>1090</v>
      </c>
      <c r="O35" s="176">
        <v>1010</v>
      </c>
      <c r="P35" s="176">
        <v>340</v>
      </c>
      <c r="Q35" s="176">
        <v>2210</v>
      </c>
      <c r="R35" s="176">
        <v>2670</v>
      </c>
      <c r="S35" s="178">
        <v>11400</v>
      </c>
      <c r="T35" s="176">
        <f t="shared" si="16"/>
        <v>660</v>
      </c>
      <c r="U35" s="176">
        <f t="shared" si="17"/>
        <v>2850</v>
      </c>
      <c r="V35" s="176">
        <f t="shared" si="18"/>
        <v>2670</v>
      </c>
      <c r="W35" s="176">
        <f t="shared" si="19"/>
        <v>5220</v>
      </c>
    </row>
    <row r="36" spans="1:23" ht="16.5">
      <c r="A36" s="173">
        <v>23</v>
      </c>
      <c r="B36" s="173" t="s">
        <v>7</v>
      </c>
      <c r="C36" s="173" t="s">
        <v>60</v>
      </c>
      <c r="D36" s="174" t="s">
        <v>263</v>
      </c>
      <c r="E36" s="174" t="s">
        <v>237</v>
      </c>
      <c r="F36" s="175" t="s">
        <v>39</v>
      </c>
      <c r="G36" s="176">
        <v>0</v>
      </c>
      <c r="H36" s="176">
        <v>92</v>
      </c>
      <c r="I36" s="176">
        <v>180</v>
      </c>
      <c r="J36" s="177">
        <v>362</v>
      </c>
      <c r="K36" s="176">
        <v>672</v>
      </c>
      <c r="L36" s="176">
        <v>442</v>
      </c>
      <c r="M36" s="176">
        <v>322</v>
      </c>
      <c r="N36" s="176">
        <v>677</v>
      </c>
      <c r="O36" s="176">
        <v>362</v>
      </c>
      <c r="P36" s="176">
        <v>522</v>
      </c>
      <c r="Q36" s="176">
        <v>542</v>
      </c>
      <c r="R36" s="176">
        <v>577</v>
      </c>
      <c r="S36" s="178">
        <v>4750</v>
      </c>
      <c r="T36" s="176">
        <f t="shared" si="16"/>
        <v>272</v>
      </c>
      <c r="U36" s="176">
        <f t="shared" si="17"/>
        <v>1476</v>
      </c>
      <c r="V36" s="176">
        <f t="shared" si="18"/>
        <v>1361</v>
      </c>
      <c r="W36" s="176">
        <f t="shared" si="19"/>
        <v>1641</v>
      </c>
    </row>
    <row r="37" spans="1:23" ht="16.5">
      <c r="A37" s="173">
        <v>24</v>
      </c>
      <c r="B37" s="173" t="s">
        <v>7</v>
      </c>
      <c r="C37" s="173" t="s">
        <v>60</v>
      </c>
      <c r="D37" s="174" t="s">
        <v>264</v>
      </c>
      <c r="E37" s="174" t="s">
        <v>237</v>
      </c>
      <c r="F37" s="175" t="s">
        <v>41</v>
      </c>
      <c r="G37" s="176">
        <v>1100</v>
      </c>
      <c r="H37" s="176">
        <v>650</v>
      </c>
      <c r="I37" s="176">
        <v>1150</v>
      </c>
      <c r="J37" s="177">
        <v>950</v>
      </c>
      <c r="K37" s="176">
        <v>950</v>
      </c>
      <c r="L37" s="176">
        <v>1000</v>
      </c>
      <c r="M37" s="176">
        <v>1700</v>
      </c>
      <c r="N37" s="176">
        <v>1700</v>
      </c>
      <c r="O37" s="176">
        <v>1700</v>
      </c>
      <c r="P37" s="176">
        <v>1500</v>
      </c>
      <c r="Q37" s="176">
        <v>1600</v>
      </c>
      <c r="R37" s="176">
        <v>1500</v>
      </c>
      <c r="S37" s="178">
        <v>15500</v>
      </c>
      <c r="T37" s="176">
        <f t="shared" si="16"/>
        <v>2900</v>
      </c>
      <c r="U37" s="176">
        <f t="shared" si="17"/>
        <v>2900</v>
      </c>
      <c r="V37" s="176">
        <f t="shared" si="18"/>
        <v>5100</v>
      </c>
      <c r="W37" s="176">
        <f t="shared" si="19"/>
        <v>4600</v>
      </c>
    </row>
    <row r="38" spans="1:23" ht="16.5">
      <c r="A38" s="173">
        <v>25</v>
      </c>
      <c r="B38" s="173" t="s">
        <v>7</v>
      </c>
      <c r="C38" s="173" t="s">
        <v>60</v>
      </c>
      <c r="D38" s="174" t="s">
        <v>265</v>
      </c>
      <c r="E38" s="174" t="s">
        <v>237</v>
      </c>
      <c r="F38" s="175" t="s">
        <v>41</v>
      </c>
      <c r="G38" s="176">
        <v>1100</v>
      </c>
      <c r="H38" s="176">
        <v>650</v>
      </c>
      <c r="I38" s="176">
        <v>1150</v>
      </c>
      <c r="J38" s="177">
        <v>950</v>
      </c>
      <c r="K38" s="176">
        <v>950</v>
      </c>
      <c r="L38" s="176">
        <v>1000</v>
      </c>
      <c r="M38" s="176">
        <v>1700</v>
      </c>
      <c r="N38" s="176">
        <v>1700</v>
      </c>
      <c r="O38" s="176">
        <v>1700</v>
      </c>
      <c r="P38" s="176">
        <v>1500</v>
      </c>
      <c r="Q38" s="176">
        <v>1600</v>
      </c>
      <c r="R38" s="176">
        <v>1500</v>
      </c>
      <c r="S38" s="178">
        <v>15500</v>
      </c>
      <c r="T38" s="176">
        <f t="shared" si="16"/>
        <v>2900</v>
      </c>
      <c r="U38" s="176">
        <f t="shared" si="17"/>
        <v>2900</v>
      </c>
      <c r="V38" s="176">
        <f t="shared" si="18"/>
        <v>5100</v>
      </c>
      <c r="W38" s="176">
        <f t="shared" si="19"/>
        <v>4600</v>
      </c>
    </row>
    <row r="39" spans="1:23" ht="16.5">
      <c r="A39" s="173">
        <v>26</v>
      </c>
      <c r="B39" s="173" t="s">
        <v>7</v>
      </c>
      <c r="C39" s="173" t="s">
        <v>60</v>
      </c>
      <c r="D39" s="174" t="s">
        <v>266</v>
      </c>
      <c r="E39" s="174" t="s">
        <v>237</v>
      </c>
      <c r="F39" s="175" t="s">
        <v>44</v>
      </c>
      <c r="G39" s="176">
        <v>7000</v>
      </c>
      <c r="H39" s="176">
        <v>3500</v>
      </c>
      <c r="I39" s="176">
        <v>7000</v>
      </c>
      <c r="J39" s="177">
        <v>8002.5</v>
      </c>
      <c r="K39" s="176">
        <v>8120.5</v>
      </c>
      <c r="L39" s="176">
        <v>8069.5</v>
      </c>
      <c r="M39" s="176">
        <v>8745.5</v>
      </c>
      <c r="N39" s="176">
        <v>7954.5</v>
      </c>
      <c r="O39" s="176">
        <v>7356.5</v>
      </c>
      <c r="P39" s="176">
        <v>7655</v>
      </c>
      <c r="Q39" s="176">
        <v>7952</v>
      </c>
      <c r="R39" s="176">
        <v>7644</v>
      </c>
      <c r="S39" s="178">
        <v>89000</v>
      </c>
      <c r="T39" s="176">
        <f t="shared" si="16"/>
        <v>17500</v>
      </c>
      <c r="U39" s="176">
        <f t="shared" si="17"/>
        <v>24192.5</v>
      </c>
      <c r="V39" s="176">
        <f t="shared" si="18"/>
        <v>24056.5</v>
      </c>
      <c r="W39" s="176">
        <f t="shared" si="19"/>
        <v>23251</v>
      </c>
    </row>
    <row r="40" spans="1:23" ht="16.5">
      <c r="A40" s="173">
        <v>27</v>
      </c>
      <c r="B40" s="173" t="s">
        <v>7</v>
      </c>
      <c r="C40" s="173" t="s">
        <v>60</v>
      </c>
      <c r="D40" s="174" t="s">
        <v>267</v>
      </c>
      <c r="E40" s="174" t="s">
        <v>237</v>
      </c>
      <c r="F40" s="175" t="s">
        <v>41</v>
      </c>
      <c r="G40" s="176">
        <v>1200</v>
      </c>
      <c r="H40" s="176">
        <v>700</v>
      </c>
      <c r="I40" s="176">
        <v>1800</v>
      </c>
      <c r="J40" s="177">
        <v>2650</v>
      </c>
      <c r="K40" s="176">
        <v>1850</v>
      </c>
      <c r="L40" s="176">
        <v>2250</v>
      </c>
      <c r="M40" s="176">
        <v>2550</v>
      </c>
      <c r="N40" s="176">
        <v>2650</v>
      </c>
      <c r="O40" s="176">
        <v>2450</v>
      </c>
      <c r="P40" s="176">
        <v>2300</v>
      </c>
      <c r="Q40" s="176">
        <v>2300</v>
      </c>
      <c r="R40" s="176">
        <v>2300</v>
      </c>
      <c r="S40" s="178">
        <v>25000</v>
      </c>
      <c r="T40" s="176">
        <f t="shared" si="16"/>
        <v>3700</v>
      </c>
      <c r="U40" s="176">
        <f t="shared" si="17"/>
        <v>6750</v>
      </c>
      <c r="V40" s="176">
        <f t="shared" si="18"/>
        <v>7650</v>
      </c>
      <c r="W40" s="176">
        <f t="shared" si="19"/>
        <v>6900</v>
      </c>
    </row>
    <row r="41" spans="1:23" ht="16.5">
      <c r="A41" s="173">
        <v>28</v>
      </c>
      <c r="B41" s="173" t="s">
        <v>6</v>
      </c>
      <c r="C41" s="173" t="s">
        <v>60</v>
      </c>
      <c r="D41" s="174" t="s">
        <v>268</v>
      </c>
      <c r="E41" s="174" t="s">
        <v>237</v>
      </c>
      <c r="F41" s="175" t="s">
        <v>41</v>
      </c>
      <c r="G41" s="176">
        <v>1100</v>
      </c>
      <c r="H41" s="176">
        <v>1100</v>
      </c>
      <c r="I41" s="176">
        <v>1400</v>
      </c>
      <c r="J41" s="177">
        <v>1600</v>
      </c>
      <c r="K41" s="176">
        <v>1600</v>
      </c>
      <c r="L41" s="176">
        <v>1700</v>
      </c>
      <c r="M41" s="176">
        <v>1800</v>
      </c>
      <c r="N41" s="176">
        <v>1800</v>
      </c>
      <c r="O41" s="176">
        <v>1800</v>
      </c>
      <c r="P41" s="176">
        <v>1800</v>
      </c>
      <c r="Q41" s="176">
        <v>1800</v>
      </c>
      <c r="R41" s="176">
        <v>1700</v>
      </c>
      <c r="S41" s="178">
        <v>19200</v>
      </c>
      <c r="T41" s="176">
        <f t="shared" si="16"/>
        <v>3600</v>
      </c>
      <c r="U41" s="176">
        <f t="shared" si="17"/>
        <v>4900</v>
      </c>
      <c r="V41" s="176">
        <f t="shared" si="18"/>
        <v>5400</v>
      </c>
      <c r="W41" s="176">
        <f t="shared" si="19"/>
        <v>5300</v>
      </c>
    </row>
  </sheetData>
  <mergeCells count="20">
    <mergeCell ref="G1:G2"/>
    <mergeCell ref="H1:H2"/>
    <mergeCell ref="P1:P2"/>
    <mergeCell ref="A9:B9"/>
    <mergeCell ref="G12:W12"/>
    <mergeCell ref="A12:F12"/>
    <mergeCell ref="Q1:Q2"/>
    <mergeCell ref="A3:A8"/>
    <mergeCell ref="A1:A2"/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C207-AE8D-472E-A8C2-182000D7BBF1}">
  <sheetPr>
    <tabColor rgb="FF00B0F0"/>
  </sheetPr>
  <dimension ref="A1:D26"/>
  <sheetViews>
    <sheetView workbookViewId="0">
      <selection activeCell="L9" sqref="L9"/>
    </sheetView>
  </sheetViews>
  <sheetFormatPr defaultRowHeight="13.5"/>
  <cols>
    <col min="1" max="1" width="13.75" bestFit="1" customWidth="1"/>
    <col min="3" max="3" width="11.375" bestFit="1" customWidth="1"/>
    <col min="4" max="4" width="14.875" bestFit="1" customWidth="1"/>
  </cols>
  <sheetData>
    <row r="1" spans="1:4">
      <c r="A1" t="s">
        <v>269</v>
      </c>
      <c r="B1" t="s">
        <v>0</v>
      </c>
      <c r="C1" t="s">
        <v>270</v>
      </c>
      <c r="D1" t="s">
        <v>271</v>
      </c>
    </row>
    <row r="2" spans="1:4" ht="15">
      <c r="A2" s="40" t="s">
        <v>7</v>
      </c>
      <c r="B2" s="41" t="s">
        <v>41</v>
      </c>
      <c r="C2" s="42" t="s">
        <v>44</v>
      </c>
      <c r="D2" s="45">
        <f>SUM!F9*10^6</f>
        <v>0</v>
      </c>
    </row>
    <row r="3" spans="1:4" ht="15">
      <c r="A3" s="40" t="s">
        <v>7</v>
      </c>
      <c r="B3" s="41" t="s">
        <v>38</v>
      </c>
      <c r="C3" s="43" t="s">
        <v>39</v>
      </c>
      <c r="D3" s="45">
        <f>SUM!F5*10^6</f>
        <v>330000000</v>
      </c>
    </row>
    <row r="4" spans="1:4" ht="15">
      <c r="A4" s="40" t="s">
        <v>7</v>
      </c>
      <c r="B4" s="41" t="s">
        <v>38</v>
      </c>
      <c r="C4" s="43" t="s">
        <v>40</v>
      </c>
      <c r="D4" s="45">
        <f>SUM!F6*10^6</f>
        <v>2921000000</v>
      </c>
    </row>
    <row r="5" spans="1:4" ht="15">
      <c r="A5" s="40" t="s">
        <v>7</v>
      </c>
      <c r="B5" s="41" t="s">
        <v>41</v>
      </c>
      <c r="C5" s="44" t="s">
        <v>272</v>
      </c>
      <c r="D5" s="45">
        <f>SUM!F8*10^6</f>
        <v>0</v>
      </c>
    </row>
    <row r="6" spans="1:4" ht="15">
      <c r="A6" s="40" t="s">
        <v>7</v>
      </c>
      <c r="B6" s="41" t="s">
        <v>41</v>
      </c>
      <c r="C6" s="43" t="s">
        <v>273</v>
      </c>
      <c r="D6" s="45">
        <f>SUM!F7*10^6</f>
        <v>1268000000</v>
      </c>
    </row>
    <row r="7" spans="1:4" ht="15">
      <c r="A7" s="40" t="s">
        <v>5</v>
      </c>
      <c r="B7" s="41" t="s">
        <v>38</v>
      </c>
      <c r="C7" s="43" t="s">
        <v>39</v>
      </c>
      <c r="D7" s="45">
        <f>SUM!D5*10^6</f>
        <v>445000000</v>
      </c>
    </row>
    <row r="8" spans="1:4" ht="15">
      <c r="A8" s="40" t="s">
        <v>5</v>
      </c>
      <c r="B8" s="41" t="s">
        <v>38</v>
      </c>
      <c r="C8" s="43" t="s">
        <v>40</v>
      </c>
      <c r="D8" s="45">
        <f>SUM!D6*10^6</f>
        <v>355000000</v>
      </c>
    </row>
    <row r="9" spans="1:4" ht="15">
      <c r="A9" s="40" t="s">
        <v>5</v>
      </c>
      <c r="B9" s="41" t="s">
        <v>41</v>
      </c>
      <c r="C9" s="44" t="s">
        <v>272</v>
      </c>
      <c r="D9" s="45">
        <f>SUM!D8*10^6</f>
        <v>0</v>
      </c>
    </row>
    <row r="10" spans="1:4" ht="15">
      <c r="A10" s="40" t="s">
        <v>5</v>
      </c>
      <c r="B10" s="41" t="s">
        <v>41</v>
      </c>
      <c r="C10" s="43" t="s">
        <v>273</v>
      </c>
      <c r="D10" s="45">
        <f>SUM!D7*10^6</f>
        <v>1470000000</v>
      </c>
    </row>
    <row r="11" spans="1:4" ht="15">
      <c r="A11" s="40" t="s">
        <v>8</v>
      </c>
      <c r="B11" s="41" t="s">
        <v>38</v>
      </c>
      <c r="C11" s="43" t="s">
        <v>39</v>
      </c>
      <c r="D11" s="45">
        <f>SUM!G5*10^6</f>
        <v>0</v>
      </c>
    </row>
    <row r="12" spans="1:4" ht="15">
      <c r="A12" s="40" t="s">
        <v>8</v>
      </c>
      <c r="B12" s="41" t="s">
        <v>38</v>
      </c>
      <c r="C12" s="43" t="s">
        <v>40</v>
      </c>
      <c r="D12" s="45">
        <f>SUM!G6*10^6</f>
        <v>2712000000</v>
      </c>
    </row>
    <row r="13" spans="1:4" ht="15">
      <c r="A13" s="40" t="s">
        <v>8</v>
      </c>
      <c r="B13" s="41" t="s">
        <v>41</v>
      </c>
      <c r="C13" s="44" t="s">
        <v>272</v>
      </c>
      <c r="D13" s="45">
        <f>SUM!G8*10^6</f>
        <v>0</v>
      </c>
    </row>
    <row r="14" spans="1:4" ht="15">
      <c r="A14" s="40" t="s">
        <v>8</v>
      </c>
      <c r="B14" s="41" t="s">
        <v>41</v>
      </c>
      <c r="C14" s="43" t="s">
        <v>273</v>
      </c>
      <c r="D14" s="45">
        <f>SUM!G7*10^6</f>
        <v>3283000000</v>
      </c>
    </row>
    <row r="15" spans="1:4" ht="15">
      <c r="A15" s="40" t="s">
        <v>9</v>
      </c>
      <c r="B15" s="41" t="s">
        <v>38</v>
      </c>
      <c r="C15" s="43" t="s">
        <v>39</v>
      </c>
      <c r="D15" s="45">
        <v>0</v>
      </c>
    </row>
    <row r="16" spans="1:4" ht="15">
      <c r="A16" s="40" t="s">
        <v>9</v>
      </c>
      <c r="B16" s="41" t="s">
        <v>38</v>
      </c>
      <c r="C16" s="43" t="s">
        <v>40</v>
      </c>
      <c r="D16" s="45">
        <v>0</v>
      </c>
    </row>
    <row r="17" spans="1:4" ht="15">
      <c r="A17" s="40" t="s">
        <v>9</v>
      </c>
      <c r="B17" s="41" t="s">
        <v>41</v>
      </c>
      <c r="C17" s="44" t="s">
        <v>272</v>
      </c>
      <c r="D17" s="45">
        <v>0</v>
      </c>
    </row>
    <row r="18" spans="1:4" ht="15">
      <c r="A18" s="40" t="s">
        <v>9</v>
      </c>
      <c r="B18" s="41" t="s">
        <v>41</v>
      </c>
      <c r="C18" s="43" t="s">
        <v>273</v>
      </c>
      <c r="D18" s="45">
        <v>0</v>
      </c>
    </row>
    <row r="19" spans="1:4" ht="15">
      <c r="A19" s="40" t="s">
        <v>6</v>
      </c>
      <c r="B19" s="41" t="s">
        <v>38</v>
      </c>
      <c r="C19" s="43" t="s">
        <v>39</v>
      </c>
      <c r="D19" s="45">
        <f>SUM!E5*10^6</f>
        <v>0</v>
      </c>
    </row>
    <row r="20" spans="1:4" ht="15">
      <c r="A20" s="40" t="s">
        <v>6</v>
      </c>
      <c r="B20" s="41" t="s">
        <v>38</v>
      </c>
      <c r="C20" s="43" t="s">
        <v>40</v>
      </c>
      <c r="D20" s="45">
        <f>SUM!E6*10^6</f>
        <v>19120000</v>
      </c>
    </row>
    <row r="21" spans="1:4" ht="15">
      <c r="A21" s="40" t="s">
        <v>6</v>
      </c>
      <c r="B21" s="41" t="s">
        <v>41</v>
      </c>
      <c r="C21" s="44" t="s">
        <v>272</v>
      </c>
      <c r="D21" s="45">
        <f>SUM!E8*10^6</f>
        <v>0</v>
      </c>
    </row>
    <row r="22" spans="1:4" ht="15">
      <c r="A22" s="40" t="s">
        <v>6</v>
      </c>
      <c r="B22" s="41" t="s">
        <v>41</v>
      </c>
      <c r="C22" s="43" t="s">
        <v>273</v>
      </c>
      <c r="D22" s="45">
        <f>SUM!E7*10^6</f>
        <v>885070000</v>
      </c>
    </row>
    <row r="23" spans="1:4" ht="15">
      <c r="A23" s="40" t="s">
        <v>10</v>
      </c>
      <c r="B23" s="41" t="s">
        <v>38</v>
      </c>
      <c r="C23" s="43" t="s">
        <v>39</v>
      </c>
      <c r="D23" s="45">
        <f>SUM!I7*10^6</f>
        <v>0</v>
      </c>
    </row>
    <row r="24" spans="1:4" ht="15">
      <c r="A24" s="40" t="s">
        <v>10</v>
      </c>
      <c r="B24" s="41" t="s">
        <v>38</v>
      </c>
      <c r="C24" s="43" t="s">
        <v>40</v>
      </c>
      <c r="D24" s="45">
        <f>SUM!I6*10^6</f>
        <v>0</v>
      </c>
    </row>
    <row r="25" spans="1:4" ht="15">
      <c r="A25" s="40" t="s">
        <v>10</v>
      </c>
      <c r="B25" s="41" t="s">
        <v>41</v>
      </c>
      <c r="C25" s="44" t="s">
        <v>272</v>
      </c>
      <c r="D25" s="45">
        <f>SUM!I8*10^6</f>
        <v>0</v>
      </c>
    </row>
    <row r="26" spans="1:4" ht="15">
      <c r="A26" s="40" t="s">
        <v>10</v>
      </c>
      <c r="B26" s="41" t="s">
        <v>41</v>
      </c>
      <c r="C26" s="43" t="s">
        <v>273</v>
      </c>
      <c r="D26" s="45" t="e">
        <f>SUM!#REF!*10^6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7A83-7499-4261-8348-0CAA1F01B690}">
  <dimension ref="A2:N60"/>
  <sheetViews>
    <sheetView topLeftCell="F1" workbookViewId="0">
      <selection activeCell="L9" sqref="L9"/>
    </sheetView>
  </sheetViews>
  <sheetFormatPr defaultRowHeight="14.25" customHeight="1"/>
  <cols>
    <col min="1" max="1" width="6.375" style="134" bestFit="1" customWidth="1"/>
    <col min="2" max="2" width="9.5" customWidth="1"/>
    <col min="3" max="3" width="26.25" customWidth="1"/>
    <col min="4" max="4" width="22.625" customWidth="1"/>
    <col min="5" max="5" width="38" customWidth="1"/>
    <col min="6" max="6" width="58.625" customWidth="1"/>
    <col min="7" max="7" width="18.5" customWidth="1"/>
    <col min="8" max="8" width="31.375" bestFit="1" customWidth="1"/>
    <col min="9" max="9" width="12.125" style="134" bestFit="1" customWidth="1"/>
    <col min="10" max="14" width="9" style="134"/>
  </cols>
  <sheetData>
    <row r="2" spans="1:11" ht="16.5">
      <c r="A2" s="278" t="s">
        <v>231</v>
      </c>
      <c r="B2" s="279" t="s">
        <v>110</v>
      </c>
      <c r="C2" s="279" t="s">
        <v>233</v>
      </c>
      <c r="D2" s="279" t="s">
        <v>232</v>
      </c>
      <c r="E2" s="279" t="s">
        <v>234</v>
      </c>
      <c r="F2" s="279" t="s">
        <v>235</v>
      </c>
      <c r="G2" s="279" t="s">
        <v>274</v>
      </c>
      <c r="H2" s="279" t="s">
        <v>275</v>
      </c>
      <c r="I2" s="279" t="s">
        <v>276</v>
      </c>
    </row>
    <row r="3" spans="1:11" ht="16.5">
      <c r="A3" s="280">
        <v>1</v>
      </c>
      <c r="B3" s="281" t="s">
        <v>8</v>
      </c>
      <c r="C3" s="281" t="s">
        <v>277</v>
      </c>
      <c r="D3" s="281" t="s">
        <v>60</v>
      </c>
      <c r="E3" s="281" t="s">
        <v>278</v>
      </c>
      <c r="F3" s="281" t="s">
        <v>278</v>
      </c>
      <c r="G3" s="281" t="s">
        <v>59</v>
      </c>
      <c r="H3" s="281" t="s">
        <v>279</v>
      </c>
      <c r="I3" s="281"/>
    </row>
    <row r="4" spans="1:11" ht="16.5">
      <c r="A4" s="280">
        <v>2</v>
      </c>
      <c r="B4" s="281" t="s">
        <v>8</v>
      </c>
      <c r="C4" s="281" t="s">
        <v>236</v>
      </c>
      <c r="D4" s="281" t="s">
        <v>60</v>
      </c>
      <c r="E4" s="281" t="s">
        <v>237</v>
      </c>
      <c r="F4" s="281" t="s">
        <v>238</v>
      </c>
      <c r="G4" s="281" t="s">
        <v>59</v>
      </c>
      <c r="H4" s="281" t="s">
        <v>280</v>
      </c>
      <c r="I4" s="281" t="s">
        <v>281</v>
      </c>
    </row>
    <row r="5" spans="1:11" ht="16.5">
      <c r="A5" s="280">
        <v>3</v>
      </c>
      <c r="B5" s="281" t="s">
        <v>8</v>
      </c>
      <c r="C5" s="281" t="s">
        <v>240</v>
      </c>
      <c r="D5" s="281" t="s">
        <v>60</v>
      </c>
      <c r="E5" s="281" t="s">
        <v>237</v>
      </c>
      <c r="F5" s="281" t="s">
        <v>238</v>
      </c>
      <c r="G5" s="281" t="s">
        <v>59</v>
      </c>
      <c r="H5" s="281" t="s">
        <v>282</v>
      </c>
      <c r="I5" s="281" t="s">
        <v>283</v>
      </c>
    </row>
    <row r="6" spans="1:11" ht="16.5">
      <c r="A6" s="280">
        <v>4</v>
      </c>
      <c r="B6" s="281" t="s">
        <v>8</v>
      </c>
      <c r="C6" s="281" t="s">
        <v>239</v>
      </c>
      <c r="D6" s="281" t="s">
        <v>60</v>
      </c>
      <c r="E6" s="281" t="s">
        <v>237</v>
      </c>
      <c r="F6" s="281" t="s">
        <v>238</v>
      </c>
      <c r="G6" s="281" t="s">
        <v>59</v>
      </c>
      <c r="H6" s="281" t="s">
        <v>284</v>
      </c>
      <c r="I6" s="281" t="s">
        <v>285</v>
      </c>
    </row>
    <row r="7" spans="1:11" ht="16.5">
      <c r="A7" s="280">
        <v>5</v>
      </c>
      <c r="B7" s="281" t="s">
        <v>8</v>
      </c>
      <c r="C7" s="281" t="s">
        <v>286</v>
      </c>
      <c r="D7" s="281" t="s">
        <v>60</v>
      </c>
      <c r="E7" s="281" t="s">
        <v>237</v>
      </c>
      <c r="F7" s="281" t="s">
        <v>41</v>
      </c>
      <c r="G7" s="281" t="s">
        <v>59</v>
      </c>
      <c r="H7" s="281" t="s">
        <v>287</v>
      </c>
      <c r="I7" s="281" t="s">
        <v>288</v>
      </c>
    </row>
    <row r="8" spans="1:11" ht="16.5">
      <c r="A8" s="280">
        <v>6</v>
      </c>
      <c r="B8" s="281" t="s">
        <v>8</v>
      </c>
      <c r="C8" s="281" t="s">
        <v>289</v>
      </c>
      <c r="D8" s="281" t="s">
        <v>60</v>
      </c>
      <c r="E8" s="281" t="s">
        <v>237</v>
      </c>
      <c r="F8" s="281" t="s">
        <v>41</v>
      </c>
      <c r="G8" s="281" t="s">
        <v>59</v>
      </c>
      <c r="H8" s="281" t="s">
        <v>290</v>
      </c>
      <c r="I8" s="281" t="s">
        <v>291</v>
      </c>
    </row>
    <row r="9" spans="1:11" ht="16.5">
      <c r="A9" s="280">
        <v>7</v>
      </c>
      <c r="B9" s="281" t="s">
        <v>8</v>
      </c>
      <c r="C9" s="281" t="s">
        <v>292</v>
      </c>
      <c r="D9" s="281" t="s">
        <v>60</v>
      </c>
      <c r="E9" s="281" t="s">
        <v>237</v>
      </c>
      <c r="F9" s="281" t="s">
        <v>41</v>
      </c>
      <c r="G9" s="281" t="s">
        <v>59</v>
      </c>
      <c r="H9" s="281" t="s">
        <v>59</v>
      </c>
      <c r="I9" s="281" t="s">
        <v>59</v>
      </c>
    </row>
    <row r="10" spans="1:11" ht="16.5">
      <c r="A10" s="280">
        <v>8</v>
      </c>
      <c r="B10" s="281" t="s">
        <v>8</v>
      </c>
      <c r="C10" s="281" t="s">
        <v>293</v>
      </c>
      <c r="D10" s="281" t="s">
        <v>60</v>
      </c>
      <c r="E10" s="281" t="s">
        <v>237</v>
      </c>
      <c r="F10" s="281" t="s">
        <v>39</v>
      </c>
      <c r="G10" s="281" t="s">
        <v>59</v>
      </c>
      <c r="H10" s="281" t="s">
        <v>294</v>
      </c>
      <c r="I10" s="281" t="s">
        <v>295</v>
      </c>
      <c r="K10" s="428"/>
    </row>
    <row r="11" spans="1:11" ht="16.5">
      <c r="A11" s="280">
        <v>9</v>
      </c>
      <c r="B11" s="281" t="s">
        <v>8</v>
      </c>
      <c r="C11" s="281" t="s">
        <v>296</v>
      </c>
      <c r="D11" s="281" t="s">
        <v>297</v>
      </c>
      <c r="E11" s="281" t="s">
        <v>298</v>
      </c>
      <c r="F11" s="281" t="s">
        <v>298</v>
      </c>
      <c r="G11" s="281" t="s">
        <v>59</v>
      </c>
      <c r="H11" s="281" t="s">
        <v>59</v>
      </c>
      <c r="I11" s="281" t="s">
        <v>59</v>
      </c>
    </row>
    <row r="12" spans="1:11" ht="16.5">
      <c r="A12" s="280">
        <v>10</v>
      </c>
      <c r="B12" s="281" t="s">
        <v>8</v>
      </c>
      <c r="C12" s="281" t="s">
        <v>299</v>
      </c>
      <c r="D12" s="281" t="s">
        <v>297</v>
      </c>
      <c r="E12" s="281" t="s">
        <v>300</v>
      </c>
      <c r="F12" s="281" t="s">
        <v>300</v>
      </c>
      <c r="G12" s="281" t="s">
        <v>301</v>
      </c>
      <c r="H12" s="281" t="s">
        <v>59</v>
      </c>
      <c r="I12" s="281" t="s">
        <v>59</v>
      </c>
    </row>
    <row r="13" spans="1:11" ht="16.5">
      <c r="A13" s="280">
        <v>11</v>
      </c>
      <c r="B13" s="281" t="s">
        <v>8</v>
      </c>
      <c r="C13" s="281" t="s">
        <v>302</v>
      </c>
      <c r="D13" s="281" t="s">
        <v>297</v>
      </c>
      <c r="E13" s="281" t="s">
        <v>300</v>
      </c>
      <c r="F13" s="281" t="s">
        <v>300</v>
      </c>
      <c r="G13" s="281" t="s">
        <v>303</v>
      </c>
      <c r="H13" s="281" t="s">
        <v>59</v>
      </c>
      <c r="I13" s="281" t="s">
        <v>59</v>
      </c>
    </row>
    <row r="14" spans="1:11" ht="16.5">
      <c r="A14" s="280">
        <v>12</v>
      </c>
      <c r="B14" s="281" t="s">
        <v>8</v>
      </c>
      <c r="C14" s="281" t="s">
        <v>304</v>
      </c>
      <c r="D14" s="281" t="s">
        <v>297</v>
      </c>
      <c r="E14" s="281" t="s">
        <v>300</v>
      </c>
      <c r="F14" s="281" t="s">
        <v>300</v>
      </c>
      <c r="G14" s="281" t="s">
        <v>305</v>
      </c>
      <c r="H14" s="281" t="s">
        <v>59</v>
      </c>
      <c r="I14" s="281" t="s">
        <v>59</v>
      </c>
    </row>
    <row r="15" spans="1:11" ht="16.5">
      <c r="A15" s="280">
        <v>13</v>
      </c>
      <c r="B15" s="281" t="s">
        <v>9</v>
      </c>
      <c r="C15" s="281" t="s">
        <v>306</v>
      </c>
      <c r="D15" s="281" t="s">
        <v>307</v>
      </c>
      <c r="E15" s="281" t="s">
        <v>308</v>
      </c>
      <c r="F15" s="281" t="s">
        <v>309</v>
      </c>
      <c r="G15" s="281" t="s">
        <v>59</v>
      </c>
      <c r="H15" s="281" t="s">
        <v>59</v>
      </c>
      <c r="I15" s="281" t="s">
        <v>59</v>
      </c>
    </row>
    <row r="16" spans="1:11" ht="16.5">
      <c r="A16" s="280">
        <v>14</v>
      </c>
      <c r="B16" s="281" t="s">
        <v>9</v>
      </c>
      <c r="C16" s="281" t="s">
        <v>310</v>
      </c>
      <c r="D16" s="281" t="s">
        <v>297</v>
      </c>
      <c r="E16" s="281" t="s">
        <v>300</v>
      </c>
      <c r="F16" s="281" t="s">
        <v>300</v>
      </c>
      <c r="G16" s="281" t="s">
        <v>59</v>
      </c>
      <c r="H16" s="281" t="s">
        <v>59</v>
      </c>
      <c r="I16" s="281" t="s">
        <v>59</v>
      </c>
    </row>
    <row r="17" spans="1:14" ht="16.5">
      <c r="A17" s="280">
        <v>15</v>
      </c>
      <c r="B17" s="281" t="s">
        <v>5</v>
      </c>
      <c r="C17" s="281" t="s">
        <v>244</v>
      </c>
      <c r="D17" s="281" t="s">
        <v>60</v>
      </c>
      <c r="E17" s="281" t="s">
        <v>311</v>
      </c>
      <c r="F17" s="281" t="s">
        <v>41</v>
      </c>
      <c r="G17" s="281" t="s">
        <v>59</v>
      </c>
      <c r="H17" s="281" t="s">
        <v>59</v>
      </c>
      <c r="I17" s="281" t="s">
        <v>59</v>
      </c>
    </row>
    <row r="18" spans="1:14" ht="16.5">
      <c r="A18" s="280">
        <v>16</v>
      </c>
      <c r="B18" s="281" t="s">
        <v>5</v>
      </c>
      <c r="C18" s="281" t="s">
        <v>246</v>
      </c>
      <c r="D18" s="281" t="s">
        <v>60</v>
      </c>
      <c r="E18" s="281" t="s">
        <v>237</v>
      </c>
      <c r="F18" s="281" t="s">
        <v>41</v>
      </c>
      <c r="G18" s="281" t="s">
        <v>59</v>
      </c>
      <c r="H18" s="281" t="s">
        <v>59</v>
      </c>
      <c r="I18" s="281" t="s">
        <v>59</v>
      </c>
    </row>
    <row r="19" spans="1:14" ht="16.5">
      <c r="A19" s="280">
        <v>17</v>
      </c>
      <c r="B19" s="281" t="s">
        <v>5</v>
      </c>
      <c r="C19" s="281" t="s">
        <v>247</v>
      </c>
      <c r="D19" s="281" t="s">
        <v>60</v>
      </c>
      <c r="E19" s="281" t="s">
        <v>237</v>
      </c>
      <c r="F19" s="281" t="s">
        <v>41</v>
      </c>
      <c r="G19" s="281" t="s">
        <v>59</v>
      </c>
      <c r="H19" s="281" t="s">
        <v>59</v>
      </c>
      <c r="I19" s="281" t="s">
        <v>59</v>
      </c>
    </row>
    <row r="20" spans="1:14" ht="16.5">
      <c r="A20" s="280">
        <v>18</v>
      </c>
      <c r="B20" s="281" t="s">
        <v>5</v>
      </c>
      <c r="C20" s="281" t="s">
        <v>248</v>
      </c>
      <c r="D20" s="281" t="s">
        <v>60</v>
      </c>
      <c r="E20" s="281" t="s">
        <v>237</v>
      </c>
      <c r="F20" s="281" t="s">
        <v>41</v>
      </c>
      <c r="G20" s="281" t="s">
        <v>59</v>
      </c>
      <c r="H20" s="281" t="s">
        <v>59</v>
      </c>
      <c r="I20" s="281" t="s">
        <v>59</v>
      </c>
    </row>
    <row r="21" spans="1:14" ht="16.5">
      <c r="A21" s="280">
        <v>19</v>
      </c>
      <c r="B21" s="281" t="s">
        <v>5</v>
      </c>
      <c r="C21" s="281" t="s">
        <v>249</v>
      </c>
      <c r="D21" s="281" t="s">
        <v>60</v>
      </c>
      <c r="E21" s="281" t="s">
        <v>237</v>
      </c>
      <c r="F21" s="281" t="s">
        <v>41</v>
      </c>
      <c r="G21" s="281" t="s">
        <v>59</v>
      </c>
      <c r="H21" s="281" t="s">
        <v>59</v>
      </c>
      <c r="I21" s="281" t="s">
        <v>59</v>
      </c>
    </row>
    <row r="22" spans="1:14" ht="16.5">
      <c r="A22" s="280">
        <v>20</v>
      </c>
      <c r="B22" s="281" t="s">
        <v>5</v>
      </c>
      <c r="C22" s="281" t="s">
        <v>250</v>
      </c>
      <c r="D22" s="281" t="s">
        <v>60</v>
      </c>
      <c r="E22" s="281" t="s">
        <v>312</v>
      </c>
      <c r="F22" s="281" t="s">
        <v>238</v>
      </c>
      <c r="G22" s="281" t="s">
        <v>59</v>
      </c>
      <c r="H22" s="281" t="s">
        <v>59</v>
      </c>
      <c r="I22" s="281" t="s">
        <v>59</v>
      </c>
    </row>
    <row r="23" spans="1:14" ht="16.5">
      <c r="A23" s="280">
        <v>21</v>
      </c>
      <c r="B23" s="281" t="s">
        <v>5</v>
      </c>
      <c r="C23" s="281" t="s">
        <v>253</v>
      </c>
      <c r="D23" s="281" t="s">
        <v>60</v>
      </c>
      <c r="E23" s="281" t="s">
        <v>237</v>
      </c>
      <c r="F23" s="281" t="s">
        <v>238</v>
      </c>
      <c r="G23" s="281" t="s">
        <v>59</v>
      </c>
      <c r="H23" s="281" t="s">
        <v>59</v>
      </c>
      <c r="I23" s="281" t="s">
        <v>59</v>
      </c>
    </row>
    <row r="24" spans="1:14" ht="16.5">
      <c r="A24" s="280">
        <v>22</v>
      </c>
      <c r="B24" s="281" t="s">
        <v>5</v>
      </c>
      <c r="C24" s="281" t="s">
        <v>252</v>
      </c>
      <c r="D24" s="281" t="s">
        <v>60</v>
      </c>
      <c r="E24" s="281" t="s">
        <v>237</v>
      </c>
      <c r="F24" s="281" t="s">
        <v>238</v>
      </c>
      <c r="G24" s="281" t="s">
        <v>59</v>
      </c>
      <c r="H24" s="281" t="s">
        <v>59</v>
      </c>
      <c r="I24" s="281" t="s">
        <v>59</v>
      </c>
    </row>
    <row r="25" spans="1:14" ht="16.5">
      <c r="A25" s="280">
        <v>23</v>
      </c>
      <c r="B25" s="281" t="s">
        <v>5</v>
      </c>
      <c r="C25" s="281" t="s">
        <v>254</v>
      </c>
      <c r="D25" s="281" t="s">
        <v>60</v>
      </c>
      <c r="E25" s="281" t="s">
        <v>313</v>
      </c>
      <c r="F25" s="281" t="s">
        <v>39</v>
      </c>
      <c r="G25" s="281" t="s">
        <v>59</v>
      </c>
      <c r="H25" s="281" t="s">
        <v>59</v>
      </c>
      <c r="I25" s="281" t="s">
        <v>59</v>
      </c>
    </row>
    <row r="26" spans="1:14" ht="16.5">
      <c r="A26" s="280">
        <v>24</v>
      </c>
      <c r="B26" s="281" t="s">
        <v>5</v>
      </c>
      <c r="C26" s="281" t="s">
        <v>256</v>
      </c>
      <c r="D26" s="281" t="s">
        <v>60</v>
      </c>
      <c r="E26" s="281" t="s">
        <v>237</v>
      </c>
      <c r="F26" s="281" t="s">
        <v>39</v>
      </c>
      <c r="G26" s="281" t="s">
        <v>59</v>
      </c>
      <c r="H26" s="281" t="s">
        <v>59</v>
      </c>
      <c r="I26" s="281" t="s">
        <v>59</v>
      </c>
    </row>
    <row r="27" spans="1:14" ht="16.5">
      <c r="A27" s="280">
        <v>25</v>
      </c>
      <c r="B27" s="281" t="s">
        <v>5</v>
      </c>
      <c r="C27" s="281" t="s">
        <v>314</v>
      </c>
      <c r="D27" s="281" t="s">
        <v>297</v>
      </c>
      <c r="E27" s="281" t="s">
        <v>315</v>
      </c>
      <c r="F27" s="281" t="s">
        <v>315</v>
      </c>
      <c r="G27" s="281" t="s">
        <v>316</v>
      </c>
      <c r="H27" s="281" t="s">
        <v>59</v>
      </c>
      <c r="I27" s="281" t="s">
        <v>59</v>
      </c>
      <c r="J27" s="133"/>
      <c r="K27" s="133"/>
      <c r="L27" s="133"/>
      <c r="M27" s="133"/>
      <c r="N27" s="133"/>
    </row>
    <row r="28" spans="1:14" ht="16.5">
      <c r="A28" s="280">
        <v>26</v>
      </c>
      <c r="B28" s="281" t="s">
        <v>5</v>
      </c>
      <c r="C28" s="281" t="s">
        <v>317</v>
      </c>
      <c r="D28" s="281" t="s">
        <v>297</v>
      </c>
      <c r="E28" s="281" t="s">
        <v>300</v>
      </c>
      <c r="F28" s="281" t="s">
        <v>300</v>
      </c>
      <c r="G28" s="281" t="s">
        <v>318</v>
      </c>
      <c r="H28" s="281" t="s">
        <v>59</v>
      </c>
      <c r="I28" s="281" t="s">
        <v>59</v>
      </c>
      <c r="J28" s="133"/>
      <c r="K28" s="133"/>
      <c r="L28" s="133"/>
      <c r="M28" s="133"/>
      <c r="N28" s="133"/>
    </row>
    <row r="29" spans="1:14" ht="16.5">
      <c r="A29" s="280">
        <v>27</v>
      </c>
      <c r="B29" s="281" t="s">
        <v>5</v>
      </c>
      <c r="C29" s="281" t="s">
        <v>319</v>
      </c>
      <c r="D29" s="281" t="s">
        <v>297</v>
      </c>
      <c r="E29" s="281" t="s">
        <v>300</v>
      </c>
      <c r="F29" s="281" t="s">
        <v>300</v>
      </c>
      <c r="G29" s="281" t="s">
        <v>320</v>
      </c>
      <c r="H29" s="281" t="s">
        <v>59</v>
      </c>
      <c r="I29" s="281" t="s">
        <v>59</v>
      </c>
      <c r="J29" s="133"/>
      <c r="K29" s="133"/>
      <c r="L29" s="133"/>
      <c r="M29" s="133"/>
      <c r="N29" s="133"/>
    </row>
    <row r="30" spans="1:14" ht="16.5">
      <c r="A30" s="280">
        <v>28</v>
      </c>
      <c r="B30" s="281" t="s">
        <v>5</v>
      </c>
      <c r="C30" s="281" t="s">
        <v>321</v>
      </c>
      <c r="D30" s="281" t="s">
        <v>297</v>
      </c>
      <c r="E30" s="281" t="s">
        <v>300</v>
      </c>
      <c r="F30" s="281" t="s">
        <v>300</v>
      </c>
      <c r="G30" s="281" t="s">
        <v>322</v>
      </c>
      <c r="H30" s="281" t="s">
        <v>59</v>
      </c>
      <c r="I30" s="281" t="s">
        <v>59</v>
      </c>
      <c r="J30" s="133"/>
      <c r="K30" s="133"/>
      <c r="L30" s="133"/>
      <c r="M30" s="133"/>
      <c r="N30" s="133"/>
    </row>
    <row r="31" spans="1:14" ht="16.5">
      <c r="A31" s="280">
        <v>29</v>
      </c>
      <c r="B31" s="281" t="s">
        <v>7</v>
      </c>
      <c r="C31" s="281" t="s">
        <v>323</v>
      </c>
      <c r="D31" s="281" t="s">
        <v>60</v>
      </c>
      <c r="E31" s="281" t="s">
        <v>324</v>
      </c>
      <c r="F31" s="281" t="s">
        <v>324</v>
      </c>
      <c r="G31" s="281" t="s">
        <v>59</v>
      </c>
      <c r="H31" s="282" t="s">
        <v>325</v>
      </c>
      <c r="I31" s="281">
        <v>907101434</v>
      </c>
      <c r="J31" s="133"/>
      <c r="K31" s="133"/>
      <c r="L31" s="133"/>
      <c r="M31" s="133"/>
      <c r="N31" s="133"/>
    </row>
    <row r="32" spans="1:14" ht="16.5">
      <c r="A32" s="280">
        <v>30</v>
      </c>
      <c r="B32" s="281" t="s">
        <v>7</v>
      </c>
      <c r="C32" s="281" t="s">
        <v>257</v>
      </c>
      <c r="D32" s="281" t="s">
        <v>60</v>
      </c>
      <c r="E32" s="281" t="s">
        <v>237</v>
      </c>
      <c r="F32" s="281" t="s">
        <v>238</v>
      </c>
      <c r="G32" s="281" t="s">
        <v>59</v>
      </c>
      <c r="H32" s="282" t="s">
        <v>326</v>
      </c>
      <c r="I32" s="281" t="s">
        <v>327</v>
      </c>
      <c r="J32" s="133"/>
      <c r="K32" s="133"/>
      <c r="L32" s="133"/>
      <c r="M32" s="133"/>
      <c r="N32" s="133"/>
    </row>
    <row r="33" spans="1:14" ht="16.5">
      <c r="A33" s="280">
        <v>31</v>
      </c>
      <c r="B33" s="281" t="s">
        <v>7</v>
      </c>
      <c r="C33" s="281" t="s">
        <v>258</v>
      </c>
      <c r="D33" s="281" t="s">
        <v>60</v>
      </c>
      <c r="E33" s="281" t="s">
        <v>237</v>
      </c>
      <c r="F33" s="281" t="s">
        <v>238</v>
      </c>
      <c r="G33" s="281" t="s">
        <v>59</v>
      </c>
      <c r="H33" s="282" t="s">
        <v>328</v>
      </c>
      <c r="I33" s="281" t="s">
        <v>329</v>
      </c>
      <c r="J33" s="133"/>
      <c r="K33" s="133"/>
      <c r="L33" s="133"/>
      <c r="M33" s="133"/>
      <c r="N33" s="133"/>
    </row>
    <row r="34" spans="1:14" ht="16.5">
      <c r="A34" s="280">
        <v>32</v>
      </c>
      <c r="B34" s="281" t="s">
        <v>7</v>
      </c>
      <c r="C34" s="281" t="s">
        <v>259</v>
      </c>
      <c r="D34" s="281" t="s">
        <v>60</v>
      </c>
      <c r="E34" s="281" t="s">
        <v>237</v>
      </c>
      <c r="F34" s="281" t="s">
        <v>238</v>
      </c>
      <c r="G34" s="281" t="s">
        <v>59</v>
      </c>
      <c r="H34" s="282" t="s">
        <v>330</v>
      </c>
      <c r="I34" s="281" t="s">
        <v>331</v>
      </c>
      <c r="J34" s="133"/>
      <c r="K34" s="133"/>
      <c r="L34" s="133"/>
      <c r="M34" s="133"/>
      <c r="N34" s="133"/>
    </row>
    <row r="35" spans="1:14" ht="16.5">
      <c r="A35" s="280">
        <v>33</v>
      </c>
      <c r="B35" s="281" t="s">
        <v>7</v>
      </c>
      <c r="C35" s="281" t="s">
        <v>332</v>
      </c>
      <c r="D35" s="281" t="s">
        <v>60</v>
      </c>
      <c r="E35" s="281" t="s">
        <v>237</v>
      </c>
      <c r="F35" s="281" t="s">
        <v>238</v>
      </c>
      <c r="G35" s="281" t="s">
        <v>59</v>
      </c>
      <c r="H35" s="282" t="s">
        <v>333</v>
      </c>
      <c r="I35" s="281" t="s">
        <v>334</v>
      </c>
      <c r="J35" s="133"/>
      <c r="K35" s="133"/>
      <c r="L35" s="133"/>
      <c r="M35" s="133"/>
      <c r="N35" s="133"/>
    </row>
    <row r="36" spans="1:14" ht="16.5">
      <c r="A36" s="280">
        <v>34</v>
      </c>
      <c r="B36" s="281" t="s">
        <v>7</v>
      </c>
      <c r="C36" s="281" t="s">
        <v>335</v>
      </c>
      <c r="D36" s="281" t="s">
        <v>60</v>
      </c>
      <c r="E36" s="281" t="s">
        <v>237</v>
      </c>
      <c r="F36" s="281" t="s">
        <v>238</v>
      </c>
      <c r="G36" s="281" t="s">
        <v>59</v>
      </c>
      <c r="H36" s="282" t="s">
        <v>336</v>
      </c>
      <c r="I36" s="281" t="s">
        <v>337</v>
      </c>
    </row>
    <row r="37" spans="1:14" ht="16.5">
      <c r="A37" s="280">
        <v>35</v>
      </c>
      <c r="B37" s="281" t="s">
        <v>7</v>
      </c>
      <c r="C37" s="281" t="s">
        <v>260</v>
      </c>
      <c r="D37" s="281" t="s">
        <v>60</v>
      </c>
      <c r="E37" s="281" t="s">
        <v>237</v>
      </c>
      <c r="F37" s="281" t="s">
        <v>39</v>
      </c>
      <c r="G37" s="281" t="s">
        <v>59</v>
      </c>
      <c r="H37" s="282" t="s">
        <v>338</v>
      </c>
      <c r="I37" s="281">
        <v>938241697</v>
      </c>
    </row>
    <row r="38" spans="1:14" ht="16.5">
      <c r="A38" s="280">
        <v>36</v>
      </c>
      <c r="B38" s="281" t="s">
        <v>7</v>
      </c>
      <c r="C38" s="281" t="s">
        <v>261</v>
      </c>
      <c r="D38" s="281" t="s">
        <v>60</v>
      </c>
      <c r="E38" s="281" t="s">
        <v>237</v>
      </c>
      <c r="F38" s="281" t="s">
        <v>39</v>
      </c>
      <c r="G38" s="281" t="s">
        <v>59</v>
      </c>
      <c r="H38" s="282" t="s">
        <v>339</v>
      </c>
      <c r="I38" s="281" t="s">
        <v>340</v>
      </c>
    </row>
    <row r="39" spans="1:14" ht="16.5">
      <c r="A39" s="280">
        <v>37</v>
      </c>
      <c r="B39" s="281" t="s">
        <v>7</v>
      </c>
      <c r="C39" s="281" t="s">
        <v>262</v>
      </c>
      <c r="D39" s="281" t="s">
        <v>60</v>
      </c>
      <c r="E39" s="281" t="s">
        <v>237</v>
      </c>
      <c r="F39" s="281" t="s">
        <v>39</v>
      </c>
      <c r="G39" s="281" t="s">
        <v>59</v>
      </c>
      <c r="H39" s="282" t="s">
        <v>341</v>
      </c>
      <c r="I39" s="281" t="s">
        <v>342</v>
      </c>
    </row>
    <row r="40" spans="1:14" ht="16.5">
      <c r="A40" s="280">
        <v>38</v>
      </c>
      <c r="B40" s="281" t="s">
        <v>7</v>
      </c>
      <c r="C40" s="281" t="s">
        <v>263</v>
      </c>
      <c r="D40" s="281" t="s">
        <v>60</v>
      </c>
      <c r="E40" s="281" t="s">
        <v>237</v>
      </c>
      <c r="F40" s="281" t="s">
        <v>39</v>
      </c>
      <c r="G40" s="281" t="s">
        <v>59</v>
      </c>
      <c r="H40" s="282" t="s">
        <v>343</v>
      </c>
      <c r="I40" s="281" t="s">
        <v>344</v>
      </c>
    </row>
    <row r="41" spans="1:14" ht="16.5">
      <c r="A41" s="280">
        <v>39</v>
      </c>
      <c r="B41" s="281" t="s">
        <v>7</v>
      </c>
      <c r="C41" s="281" t="s">
        <v>264</v>
      </c>
      <c r="D41" s="281" t="s">
        <v>60</v>
      </c>
      <c r="E41" s="281" t="s">
        <v>237</v>
      </c>
      <c r="F41" s="281" t="s">
        <v>345</v>
      </c>
      <c r="G41" s="281" t="s">
        <v>59</v>
      </c>
      <c r="H41" s="282" t="s">
        <v>346</v>
      </c>
      <c r="I41" s="281" t="s">
        <v>347</v>
      </c>
    </row>
    <row r="42" spans="1:14" ht="16.5">
      <c r="A42" s="280">
        <v>40</v>
      </c>
      <c r="B42" s="281" t="s">
        <v>7</v>
      </c>
      <c r="C42" s="281" t="s">
        <v>265</v>
      </c>
      <c r="D42" s="281" t="s">
        <v>60</v>
      </c>
      <c r="E42" s="281" t="s">
        <v>237</v>
      </c>
      <c r="F42" s="281" t="s">
        <v>345</v>
      </c>
      <c r="G42" s="281" t="s">
        <v>59</v>
      </c>
      <c r="H42" s="282" t="s">
        <v>348</v>
      </c>
      <c r="I42" s="281" t="s">
        <v>349</v>
      </c>
    </row>
    <row r="43" spans="1:14" ht="16.5">
      <c r="A43" s="280">
        <v>41</v>
      </c>
      <c r="B43" s="281" t="s">
        <v>7</v>
      </c>
      <c r="C43" s="281" t="s">
        <v>292</v>
      </c>
      <c r="D43" s="281" t="s">
        <v>60</v>
      </c>
      <c r="E43" s="281" t="s">
        <v>237</v>
      </c>
      <c r="F43" s="281" t="s">
        <v>345</v>
      </c>
      <c r="G43" s="281" t="s">
        <v>59</v>
      </c>
      <c r="H43" s="281" t="s">
        <v>59</v>
      </c>
      <c r="I43" s="281" t="s">
        <v>59</v>
      </c>
    </row>
    <row r="44" spans="1:14" ht="16.5">
      <c r="A44" s="280">
        <v>42</v>
      </c>
      <c r="B44" s="281" t="s">
        <v>7</v>
      </c>
      <c r="C44" s="281" t="s">
        <v>267</v>
      </c>
      <c r="D44" s="281" t="s">
        <v>60</v>
      </c>
      <c r="E44" s="281" t="s">
        <v>237</v>
      </c>
      <c r="F44" s="281" t="s">
        <v>350</v>
      </c>
      <c r="G44" s="281" t="s">
        <v>59</v>
      </c>
      <c r="H44" s="282" t="s">
        <v>351</v>
      </c>
      <c r="I44" s="281" t="s">
        <v>352</v>
      </c>
    </row>
    <row r="45" spans="1:14" ht="16.5">
      <c r="A45" s="280">
        <v>43</v>
      </c>
      <c r="B45" s="281" t="s">
        <v>7</v>
      </c>
      <c r="C45" s="281" t="s">
        <v>292</v>
      </c>
      <c r="D45" s="281" t="s">
        <v>60</v>
      </c>
      <c r="E45" s="281" t="s">
        <v>237</v>
      </c>
      <c r="F45" s="281" t="s">
        <v>353</v>
      </c>
      <c r="G45" s="281" t="s">
        <v>59</v>
      </c>
      <c r="H45" s="281" t="s">
        <v>59</v>
      </c>
      <c r="I45" s="281" t="s">
        <v>59</v>
      </c>
    </row>
    <row r="46" spans="1:14" ht="16.5">
      <c r="A46" s="280">
        <v>44</v>
      </c>
      <c r="B46" s="281" t="s">
        <v>7</v>
      </c>
      <c r="C46" s="285" t="s">
        <v>354</v>
      </c>
      <c r="D46" s="286" t="s">
        <v>355</v>
      </c>
      <c r="E46" s="287" t="s">
        <v>355</v>
      </c>
      <c r="F46" s="287" t="s">
        <v>59</v>
      </c>
      <c r="G46" s="281" t="s">
        <v>59</v>
      </c>
      <c r="H46" s="288" t="s">
        <v>356</v>
      </c>
      <c r="I46" s="289">
        <v>969782553</v>
      </c>
    </row>
    <row r="47" spans="1:14" ht="33">
      <c r="A47" s="280">
        <v>45</v>
      </c>
      <c r="B47" s="281" t="s">
        <v>7</v>
      </c>
      <c r="C47" s="291" t="s">
        <v>357</v>
      </c>
      <c r="D47" s="292" t="s">
        <v>358</v>
      </c>
      <c r="E47" s="293" t="s">
        <v>359</v>
      </c>
      <c r="F47" s="293" t="s">
        <v>360</v>
      </c>
      <c r="G47" s="281" t="s">
        <v>59</v>
      </c>
      <c r="H47" s="294" t="s">
        <v>361</v>
      </c>
      <c r="I47" s="295">
        <v>933848292</v>
      </c>
    </row>
    <row r="48" spans="1:14" ht="16.5">
      <c r="A48" s="280">
        <v>46</v>
      </c>
      <c r="B48" s="281" t="s">
        <v>7</v>
      </c>
      <c r="C48" s="291" t="s">
        <v>362</v>
      </c>
      <c r="D48" s="292" t="s">
        <v>358</v>
      </c>
      <c r="E48" s="293" t="s">
        <v>363</v>
      </c>
      <c r="F48" s="293" t="s">
        <v>364</v>
      </c>
      <c r="G48" s="281" t="s">
        <v>59</v>
      </c>
      <c r="H48" s="294" t="s">
        <v>365</v>
      </c>
      <c r="I48" s="295">
        <v>973920073</v>
      </c>
    </row>
    <row r="49" spans="1:9" ht="16.5">
      <c r="A49" s="280">
        <v>47</v>
      </c>
      <c r="B49" s="281" t="s">
        <v>7</v>
      </c>
      <c r="C49" s="291" t="s">
        <v>366</v>
      </c>
      <c r="D49" s="292" t="s">
        <v>358</v>
      </c>
      <c r="E49" s="293" t="s">
        <v>367</v>
      </c>
      <c r="F49" s="293" t="s">
        <v>368</v>
      </c>
      <c r="G49" s="281" t="s">
        <v>59</v>
      </c>
      <c r="H49" s="294" t="s">
        <v>369</v>
      </c>
      <c r="I49" s="295">
        <v>9168078569</v>
      </c>
    </row>
    <row r="50" spans="1:9" ht="16.5">
      <c r="A50" s="280">
        <v>48</v>
      </c>
      <c r="B50" s="281" t="s">
        <v>7</v>
      </c>
      <c r="C50" s="291" t="s">
        <v>370</v>
      </c>
      <c r="D50" s="292" t="s">
        <v>358</v>
      </c>
      <c r="E50" s="293" t="s">
        <v>371</v>
      </c>
      <c r="F50" s="293" t="s">
        <v>372</v>
      </c>
      <c r="G50" s="281" t="s">
        <v>59</v>
      </c>
      <c r="H50" s="294" t="s">
        <v>373</v>
      </c>
      <c r="I50" s="295">
        <v>91505139</v>
      </c>
    </row>
    <row r="51" spans="1:9" ht="16.5">
      <c r="A51" s="280">
        <v>49</v>
      </c>
      <c r="B51" s="281" t="s">
        <v>7</v>
      </c>
      <c r="C51" s="297" t="s">
        <v>374</v>
      </c>
      <c r="D51" s="298" t="s">
        <v>358</v>
      </c>
      <c r="E51" s="299" t="s">
        <v>371</v>
      </c>
      <c r="F51" s="299" t="s">
        <v>375</v>
      </c>
      <c r="G51" s="281" t="s">
        <v>59</v>
      </c>
      <c r="H51" s="300" t="s">
        <v>376</v>
      </c>
      <c r="I51" s="301">
        <v>395451844</v>
      </c>
    </row>
    <row r="52" spans="1:9" ht="16.5">
      <c r="A52" s="280">
        <v>50</v>
      </c>
      <c r="B52" s="281" t="s">
        <v>7</v>
      </c>
      <c r="C52" s="302" t="s">
        <v>377</v>
      </c>
      <c r="D52" s="303" t="s">
        <v>358</v>
      </c>
      <c r="E52" s="304" t="s">
        <v>363</v>
      </c>
      <c r="F52" s="304" t="s">
        <v>364</v>
      </c>
      <c r="G52" s="281" t="s">
        <v>59</v>
      </c>
      <c r="H52" s="305" t="s">
        <v>378</v>
      </c>
      <c r="I52" s="290">
        <v>938135507</v>
      </c>
    </row>
    <row r="53" spans="1:9" ht="16.5">
      <c r="A53" s="280">
        <v>51</v>
      </c>
      <c r="B53" s="281" t="s">
        <v>7</v>
      </c>
      <c r="C53" s="306" t="s">
        <v>379</v>
      </c>
      <c r="D53" s="307" t="s">
        <v>358</v>
      </c>
      <c r="E53" s="308" t="s">
        <v>380</v>
      </c>
      <c r="F53" s="308" t="s">
        <v>381</v>
      </c>
      <c r="G53" s="281" t="s">
        <v>59</v>
      </c>
      <c r="H53" s="296" t="s">
        <v>382</v>
      </c>
      <c r="I53" s="295">
        <v>934081200</v>
      </c>
    </row>
    <row r="54" spans="1:9" ht="14.25" customHeight="1">
      <c r="A54" s="280">
        <v>52</v>
      </c>
      <c r="B54" s="281" t="s">
        <v>6</v>
      </c>
      <c r="C54" s="306" t="s">
        <v>383</v>
      </c>
      <c r="D54" s="307" t="s">
        <v>358</v>
      </c>
      <c r="E54" s="308" t="s">
        <v>384</v>
      </c>
      <c r="F54" s="308" t="s">
        <v>385</v>
      </c>
      <c r="G54" s="281" t="s">
        <v>59</v>
      </c>
      <c r="H54" s="309" t="s">
        <v>386</v>
      </c>
      <c r="I54" s="295">
        <v>777140494</v>
      </c>
    </row>
    <row r="55" spans="1:9" ht="14.25" customHeight="1">
      <c r="A55" s="280">
        <v>53</v>
      </c>
      <c r="B55" s="312" t="s">
        <v>6</v>
      </c>
      <c r="C55" s="312" t="s">
        <v>307</v>
      </c>
      <c r="D55" s="312" t="s">
        <v>387</v>
      </c>
      <c r="E55" s="312" t="s">
        <v>308</v>
      </c>
      <c r="F55" s="312" t="s">
        <v>309</v>
      </c>
      <c r="G55" s="281"/>
      <c r="H55" s="311"/>
      <c r="I55" s="310"/>
    </row>
    <row r="56" spans="1:9" ht="14.25" customHeight="1">
      <c r="A56" s="280">
        <v>54</v>
      </c>
      <c r="B56" s="281" t="s">
        <v>6</v>
      </c>
      <c r="C56" s="281" t="s">
        <v>268</v>
      </c>
      <c r="D56" s="281" t="s">
        <v>60</v>
      </c>
      <c r="E56" s="281" t="s">
        <v>237</v>
      </c>
      <c r="F56" s="281" t="s">
        <v>41</v>
      </c>
      <c r="G56" s="283" t="s">
        <v>59</v>
      </c>
      <c r="H56" s="284" t="s">
        <v>59</v>
      </c>
      <c r="I56" s="283" t="s">
        <v>59</v>
      </c>
    </row>
    <row r="57" spans="1:9" ht="14.25" customHeight="1">
      <c r="A57" s="280">
        <v>55</v>
      </c>
      <c r="B57" s="281" t="s">
        <v>6</v>
      </c>
      <c r="C57" s="281" t="s">
        <v>388</v>
      </c>
      <c r="D57" s="281" t="s">
        <v>297</v>
      </c>
      <c r="E57" s="281" t="s">
        <v>300</v>
      </c>
      <c r="F57" s="281" t="s">
        <v>300</v>
      </c>
      <c r="G57" s="283" t="s">
        <v>59</v>
      </c>
      <c r="H57" s="284" t="s">
        <v>59</v>
      </c>
      <c r="I57" s="283" t="s">
        <v>59</v>
      </c>
    </row>
    <row r="58" spans="1:9" ht="14.25" customHeight="1">
      <c r="A58" s="280">
        <v>56</v>
      </c>
      <c r="B58" s="281" t="s">
        <v>10</v>
      </c>
      <c r="C58" s="281" t="s">
        <v>389</v>
      </c>
      <c r="D58" s="281" t="s">
        <v>60</v>
      </c>
      <c r="E58" s="281" t="s">
        <v>237</v>
      </c>
      <c r="F58" s="281" t="s">
        <v>238</v>
      </c>
      <c r="G58" s="283" t="s">
        <v>59</v>
      </c>
      <c r="H58" s="281" t="s">
        <v>59</v>
      </c>
      <c r="I58" s="283" t="s">
        <v>59</v>
      </c>
    </row>
    <row r="59" spans="1:9" ht="14.25" customHeight="1">
      <c r="A59" s="280">
        <v>57</v>
      </c>
      <c r="B59" s="281" t="s">
        <v>10</v>
      </c>
      <c r="C59" s="281" t="s">
        <v>390</v>
      </c>
      <c r="D59" s="281" t="s">
        <v>297</v>
      </c>
      <c r="E59" s="281" t="s">
        <v>300</v>
      </c>
      <c r="F59" s="281" t="s">
        <v>300</v>
      </c>
      <c r="G59" s="283" t="s">
        <v>59</v>
      </c>
      <c r="H59" s="281" t="s">
        <v>59</v>
      </c>
      <c r="I59" s="283" t="s">
        <v>59</v>
      </c>
    </row>
    <row r="60" spans="1:9" ht="14.25" customHeight="1">
      <c r="A60" s="280">
        <v>58</v>
      </c>
      <c r="B60" s="281" t="s">
        <v>10</v>
      </c>
      <c r="C60" s="281" t="s">
        <v>387</v>
      </c>
      <c r="D60" s="281" t="s">
        <v>60</v>
      </c>
      <c r="E60" s="281" t="s">
        <v>237</v>
      </c>
      <c r="F60" s="281" t="s">
        <v>238</v>
      </c>
      <c r="G60" s="283" t="s">
        <v>59</v>
      </c>
      <c r="H60" s="281" t="s">
        <v>59</v>
      </c>
      <c r="I60" s="283" t="s">
        <v>59</v>
      </c>
    </row>
  </sheetData>
  <autoFilter ref="A2:F56" xr:uid="{D1D27A83-7499-4261-8348-0CAA1F01B690}"/>
  <hyperlinks>
    <hyperlink ref="H31" r:id="rId1" xr:uid="{E657DE0F-1133-486A-8E2D-2FF8B47F1943}"/>
    <hyperlink ref="H32" r:id="rId2" xr:uid="{3979A4D6-208C-4D3C-A924-9B98B914F2BA}"/>
    <hyperlink ref="H33" r:id="rId3" xr:uid="{10966ED5-D3D0-479F-B3C1-52CD8D934E96}"/>
    <hyperlink ref="H34" r:id="rId4" xr:uid="{C6CAE0E9-1379-494E-91D5-82EE2CFA107D}"/>
    <hyperlink ref="H35" r:id="rId5" xr:uid="{BC5902D1-E597-4EEA-8395-702A07E84D0E}"/>
    <hyperlink ref="H36" r:id="rId6" xr:uid="{833CC1AB-49A8-4208-A678-DFB85AD6578D}"/>
    <hyperlink ref="H37" r:id="rId7" xr:uid="{E3EB2252-42BA-46E7-8748-A5EE5C31B0FB}"/>
    <hyperlink ref="H38" r:id="rId8" xr:uid="{E316C865-C1E4-4108-B1AE-8D99D00CA495}"/>
    <hyperlink ref="H39" r:id="rId9" xr:uid="{D9D53600-DEC4-431F-96E6-5D2C90EF429B}"/>
    <hyperlink ref="H40" r:id="rId10" xr:uid="{03780029-DCEC-448F-8BC0-A23A8D325F15}"/>
    <hyperlink ref="H41" r:id="rId11" xr:uid="{0B83201F-5453-4CC4-A12A-364E51944F36}"/>
    <hyperlink ref="H42" r:id="rId12" xr:uid="{733B27E0-E132-425F-AC9C-83F951633171}"/>
    <hyperlink ref="H44" r:id="rId13" xr:uid="{70ED0428-DE34-4511-B764-F5729E1EF995}"/>
    <hyperlink ref="H46" r:id="rId14" xr:uid="{4C77D745-D4EC-40DF-A764-C7E65C1C0854}"/>
    <hyperlink ref="H47" r:id="rId15" xr:uid="{D3A39059-0E7A-40D5-A660-52263CF3B039}"/>
    <hyperlink ref="H48" r:id="rId16" xr:uid="{63A6A7E1-ED94-4998-8000-41D0244EE3FA}"/>
    <hyperlink ref="H49" r:id="rId17" xr:uid="{B9D02568-02B4-4B98-A77A-D5B7060081EF}"/>
    <hyperlink ref="H50" r:id="rId18" xr:uid="{D19503B0-E24A-49E1-918B-3639BE71B89A}"/>
    <hyperlink ref="H51" r:id="rId19" xr:uid="{F7268137-5F2D-4EAE-B6C7-A184DA9DD818}"/>
    <hyperlink ref="H52" r:id="rId20" xr:uid="{46970B6E-91E3-4859-B9A2-CD1AD8602FE3}"/>
    <hyperlink ref="H54" r:id="rId21" xr:uid="{15BE8CB3-DA53-47D2-BA04-2002BB029F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Hong Phuc</dc:creator>
  <cp:keywords/>
  <dc:description/>
  <cp:lastModifiedBy/>
  <cp:revision/>
  <dcterms:created xsi:type="dcterms:W3CDTF">2025-03-10T03:13:18Z</dcterms:created>
  <dcterms:modified xsi:type="dcterms:W3CDTF">2026-01-20T10:57:20Z</dcterms:modified>
  <cp:category/>
  <cp:contentStatus/>
</cp:coreProperties>
</file>